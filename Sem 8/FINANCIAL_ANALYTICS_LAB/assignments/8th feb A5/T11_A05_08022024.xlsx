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Vinay Siwach\Downloads\"/>
    </mc:Choice>
  </mc:AlternateContent>
  <xr:revisionPtr revIDLastSave="0" documentId="13_ncr:1_{96BA15F8-729C-4C77-832A-FA5E6FC894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" sheetId="1" r:id="rId1"/>
    <sheet name="B" sheetId="2" r:id="rId2"/>
    <sheet name="C" sheetId="3" r:id="rId3"/>
  </sheets>
  <calcPr calcId="191029"/>
</workbook>
</file>

<file path=xl/calcChain.xml><?xml version="1.0" encoding="utf-8"?>
<calcChain xmlns="http://schemas.openxmlformats.org/spreadsheetml/2006/main">
  <c r="D13" i="3" l="1"/>
  <c r="D10" i="3"/>
  <c r="D20" i="3"/>
  <c r="C20" i="3"/>
  <c r="D8" i="3"/>
  <c r="G7" i="3"/>
  <c r="D7" i="3"/>
  <c r="D6" i="3"/>
  <c r="D9" i="3" s="1"/>
  <c r="F21" i="2"/>
  <c r="K20" i="2"/>
  <c r="J20" i="2"/>
  <c r="I20" i="2"/>
  <c r="L17" i="2" s="1"/>
  <c r="L19" i="2"/>
  <c r="I19" i="2"/>
  <c r="K17" i="2" s="1"/>
  <c r="L18" i="2"/>
  <c r="K18" i="2"/>
  <c r="J19" i="2" s="1"/>
  <c r="I18" i="2"/>
  <c r="J17" i="2" s="1"/>
  <c r="F18" i="2"/>
  <c r="F10" i="2"/>
  <c r="K8" i="2" s="1"/>
  <c r="E10" i="2"/>
  <c r="D10" i="2"/>
  <c r="C10" i="2"/>
  <c r="F19" i="2" s="1"/>
  <c r="J8" i="2"/>
  <c r="I8" i="2"/>
  <c r="H8" i="2"/>
  <c r="K7" i="2"/>
  <c r="J7" i="2"/>
  <c r="E11" i="2" s="1"/>
  <c r="E12" i="2" s="1"/>
  <c r="I7" i="2"/>
  <c r="K6" i="2"/>
  <c r="J6" i="2"/>
  <c r="I6" i="2"/>
  <c r="J5" i="2"/>
  <c r="I5" i="2"/>
  <c r="D11" i="2" s="1"/>
  <c r="D12" i="2" s="1"/>
  <c r="H5" i="2"/>
  <c r="C37" i="1"/>
  <c r="F24" i="1"/>
  <c r="F23" i="1"/>
  <c r="E23" i="1"/>
  <c r="D23" i="1"/>
  <c r="F22" i="1"/>
  <c r="J17" i="1"/>
  <c r="J16" i="1"/>
  <c r="E24" i="1" s="1"/>
  <c r="J15" i="1"/>
  <c r="D22" i="1" s="1"/>
  <c r="D11" i="1"/>
  <c r="B11" i="1"/>
  <c r="D10" i="1"/>
  <c r="G10" i="1" s="1"/>
  <c r="D29" i="1" s="1"/>
  <c r="B10" i="1"/>
  <c r="C49" i="1" s="1"/>
  <c r="G9" i="1"/>
  <c r="C39" i="1" s="1"/>
  <c r="D9" i="1"/>
  <c r="B9" i="1"/>
  <c r="A37" i="2" l="1"/>
  <c r="A38" i="2"/>
  <c r="C19" i="3"/>
  <c r="C21" i="3" s="1"/>
  <c r="D11" i="3"/>
  <c r="D12" i="3" s="1"/>
  <c r="K21" i="1"/>
  <c r="D28" i="1"/>
  <c r="F17" i="2"/>
  <c r="D24" i="1"/>
  <c r="H6" i="2"/>
  <c r="C11" i="2" s="1"/>
  <c r="C12" i="2" s="1"/>
  <c r="H7" i="2"/>
  <c r="F20" i="2"/>
  <c r="E22" i="1"/>
  <c r="K5" i="2"/>
  <c r="F11" i="2" s="1"/>
  <c r="F12" i="2" s="1"/>
  <c r="A39" i="2" s="1"/>
  <c r="E19" i="2" l="1"/>
  <c r="A29" i="2" s="1"/>
  <c r="E21" i="2"/>
  <c r="A31" i="2" s="1"/>
  <c r="E18" i="2"/>
  <c r="A28" i="2" s="1"/>
  <c r="E20" i="2"/>
  <c r="A30" i="2" s="1"/>
  <c r="E17" i="2"/>
  <c r="A36" i="2"/>
  <c r="C22" i="3"/>
  <c r="C23" i="3" s="1"/>
  <c r="D19" i="3"/>
  <c r="C24" i="3" s="1"/>
  <c r="A27" i="2"/>
  <c r="C41" i="1"/>
  <c r="C48" i="1"/>
</calcChain>
</file>

<file path=xl/sharedStrings.xml><?xml version="1.0" encoding="utf-8"?>
<sst xmlns="http://schemas.openxmlformats.org/spreadsheetml/2006/main" count="130" uniqueCount="100">
  <si>
    <t>Return (%)</t>
  </si>
  <si>
    <t>Period</t>
  </si>
  <si>
    <t>Market Return (%)</t>
  </si>
  <si>
    <t>ONGD</t>
  </si>
  <si>
    <t>BPDL</t>
  </si>
  <si>
    <t>part a</t>
  </si>
  <si>
    <t>var(ONGD)</t>
  </si>
  <si>
    <t>cov(ONGD, mkt)</t>
  </si>
  <si>
    <t>beta_ongd</t>
  </si>
  <si>
    <t>var(BPDL)</t>
  </si>
  <si>
    <t>cov(BPDL, mkt)</t>
  </si>
  <si>
    <t>beta_bpdl</t>
  </si>
  <si>
    <t>corr(ONGD, BPDL)</t>
  </si>
  <si>
    <t>var(mkt)</t>
  </si>
  <si>
    <t>Returns (%)</t>
  </si>
  <si>
    <t>Economy</t>
  </si>
  <si>
    <t>Probability</t>
  </si>
  <si>
    <t>T-Bills</t>
  </si>
  <si>
    <t>BPCL</t>
  </si>
  <si>
    <t>Market Index</t>
  </si>
  <si>
    <t>E(ONGD)</t>
  </si>
  <si>
    <t>Recession</t>
  </si>
  <si>
    <t>E(BPDL)</t>
  </si>
  <si>
    <t xml:space="preserve">Normal </t>
  </si>
  <si>
    <t>E(Mkt)</t>
  </si>
  <si>
    <t>Boom</t>
  </si>
  <si>
    <t>Returns (%) - Expected Returns (%)</t>
  </si>
  <si>
    <t>part b</t>
  </si>
  <si>
    <t>Mkt</t>
  </si>
  <si>
    <t>cov(ONGD, BPDL)</t>
  </si>
  <si>
    <t>part c</t>
  </si>
  <si>
    <t>Return_ONGD (using CAPM)</t>
  </si>
  <si>
    <t>Return_BPDL (using CAPM)</t>
  </si>
  <si>
    <t>beta_portfolio</t>
  </si>
  <si>
    <t>w_ongd</t>
  </si>
  <si>
    <t>q_bpdl</t>
  </si>
  <si>
    <t>Beta_portfolio</t>
  </si>
  <si>
    <t>Expected return (%)</t>
  </si>
  <si>
    <t>part d</t>
  </si>
  <si>
    <t>return_portfolio (%)</t>
  </si>
  <si>
    <t>risk_portfolio (%)</t>
  </si>
  <si>
    <t>Part e</t>
  </si>
  <si>
    <t>There is a low probability that both will increase in value at the same time, given the strong negative correlation in stock returns.</t>
  </si>
  <si>
    <t>All final answers are in  Blue highlighted cell with Italic font</t>
  </si>
  <si>
    <t>B(Part 1)</t>
  </si>
  <si>
    <t xml:space="preserve">Probability </t>
  </si>
  <si>
    <t>Rate of Return</t>
  </si>
  <si>
    <t>Kyto</t>
  </si>
  <si>
    <t>Lyco</t>
  </si>
  <si>
    <t>InfoMart</t>
  </si>
  <si>
    <t>TechKart</t>
  </si>
  <si>
    <t>Kyto: E((Ri-Rm)^2)</t>
  </si>
  <si>
    <t>Lyco: E((Ri-Rm)^2)</t>
  </si>
  <si>
    <t>InfoMart: E((Ri-Rm)^2)</t>
  </si>
  <si>
    <t>TechKart: E((Ri-Rm)^2)</t>
  </si>
  <si>
    <t>Normal</t>
  </si>
  <si>
    <t>Strong</t>
  </si>
  <si>
    <t>Very Strong</t>
  </si>
  <si>
    <t>Mean (Expected Rate of Return)</t>
  </si>
  <si>
    <t xml:space="preserve">Variance </t>
  </si>
  <si>
    <t>Standard Deviation</t>
  </si>
  <si>
    <t>B(Part 2)</t>
  </si>
  <si>
    <t>Risk  (Standard Deviation)</t>
  </si>
  <si>
    <t xml:space="preserve">Return </t>
  </si>
  <si>
    <t>Portfolio</t>
  </si>
  <si>
    <t>B(Part 3)</t>
  </si>
  <si>
    <t>Return/Risk (for choosing optimal portfolio)</t>
  </si>
  <si>
    <t>&gt;&gt; Clearly the Risk Adjusted Return for Portfolio 1 is the greatest. Therefore it is advisable to invest in portfolio 1</t>
  </si>
  <si>
    <t>Return/Risk(for choosing optimal Stock)</t>
  </si>
  <si>
    <t>&gt;&gt; Clearly the Risk Adjusted Return for Stock TechKart is the greatest. Therefore it is advisable to invest in Stock TechKart</t>
  </si>
  <si>
    <t>Stock A</t>
  </si>
  <si>
    <t>Stock B</t>
  </si>
  <si>
    <t>Market</t>
  </si>
  <si>
    <t>Corr(A,m)</t>
  </si>
  <si>
    <t>Expected return</t>
  </si>
  <si>
    <t>Standard Dev</t>
  </si>
  <si>
    <t>Stock price</t>
  </si>
  <si>
    <t>Return</t>
  </si>
  <si>
    <t>Standard dev</t>
  </si>
  <si>
    <t>Current</t>
  </si>
  <si>
    <t>Corr(B,m)</t>
  </si>
  <si>
    <t>recession</t>
  </si>
  <si>
    <t>Corr(A,B)</t>
  </si>
  <si>
    <t>normal</t>
  </si>
  <si>
    <t>Beta</t>
  </si>
  <si>
    <t>boom</t>
  </si>
  <si>
    <t>Expected Return</t>
  </si>
  <si>
    <t>Variance</t>
  </si>
  <si>
    <t>1) A Risk Averse Investor will Prefer Stock A because it has lower risk than Stock B</t>
  </si>
  <si>
    <t>std dev</t>
  </si>
  <si>
    <t>2) Expected return of the portfolio is -5.616% and standard deviation is 14.96740678%</t>
  </si>
  <si>
    <t>cov(A,m)</t>
  </si>
  <si>
    <t>3) Beta of the portfolio is 0.4424749865</t>
  </si>
  <si>
    <t>Stock</t>
  </si>
  <si>
    <t>Weights</t>
  </si>
  <si>
    <t>Returns</t>
  </si>
  <si>
    <t>A</t>
  </si>
  <si>
    <t>B</t>
  </si>
  <si>
    <t>Expected Return(%)</t>
  </si>
  <si>
    <t xml:space="preserve">Standard 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</si>
</sst>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0_);_(* \(#,##0.0000\);_(* &quot;-&quot;??_);_(@_)"/>
    <numFmt numFmtId="166" formatCode="0.0000"/>
  </numFmts>
  <fonts count="10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333F4F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1F1F1F"/>
      <name val="Arial"/>
      <scheme val="minor"/>
    </font>
    <font>
      <b/>
      <i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2" borderId="0" xfId="0" applyFont="1" applyFill="1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3" borderId="0" xfId="0" applyFont="1" applyFill="1"/>
    <xf numFmtId="165" fontId="3" fillId="3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" fillId="3" borderId="0" xfId="0" applyFont="1" applyFill="1"/>
    <xf numFmtId="0" fontId="2" fillId="3" borderId="0" xfId="0" applyFont="1" applyFill="1"/>
    <xf numFmtId="164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10" fontId="4" fillId="0" borderId="0" xfId="0" applyNumberFormat="1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10" fontId="8" fillId="6" borderId="0" xfId="0" applyNumberFormat="1" applyFont="1" applyFill="1" applyAlignment="1">
      <alignment horizontal="center" wrapText="1"/>
    </xf>
    <xf numFmtId="166" fontId="8" fillId="6" borderId="0" xfId="0" applyNumberFormat="1" applyFont="1" applyFill="1" applyAlignment="1">
      <alignment horizontal="center" wrapText="1"/>
    </xf>
    <xf numFmtId="10" fontId="9" fillId="6" borderId="0" xfId="0" applyNumberFormat="1" applyFont="1" applyFill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0" fontId="5" fillId="3" borderId="0" xfId="0" applyFont="1" applyFill="1"/>
    <xf numFmtId="0" fontId="4" fillId="3" borderId="0" xfId="0" applyFont="1" applyFill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5"/>
  <sheetViews>
    <sheetView tabSelected="1" topLeftCell="A40" workbookViewId="0"/>
  </sheetViews>
  <sheetFormatPr defaultColWidth="12.6328125" defaultRowHeight="15.75" customHeight="1" x14ac:dyDescent="0.25"/>
  <cols>
    <col min="2" max="2" width="17.08984375" customWidth="1"/>
  </cols>
  <sheetData>
    <row r="1" spans="1:26" ht="15.75" customHeight="1" x14ac:dyDescent="0.35">
      <c r="A1" s="1"/>
      <c r="B1" s="1"/>
      <c r="C1" s="43" t="s">
        <v>0</v>
      </c>
      <c r="D1" s="4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3">
        <v>1</v>
      </c>
      <c r="B3" s="3">
        <v>10</v>
      </c>
      <c r="C3" s="3">
        <v>18</v>
      </c>
      <c r="D3" s="3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3">
        <v>2</v>
      </c>
      <c r="B4" s="3">
        <v>12</v>
      </c>
      <c r="C4" s="3">
        <v>16</v>
      </c>
      <c r="D4" s="3">
        <v>10</v>
      </c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3">
        <v>3</v>
      </c>
      <c r="B5" s="3">
        <v>8</v>
      </c>
      <c r="C5" s="3">
        <v>12</v>
      </c>
      <c r="D5" s="3">
        <v>14</v>
      </c>
      <c r="E5" s="5"/>
      <c r="F5" s="2"/>
      <c r="G5" s="2"/>
      <c r="H5" s="5"/>
      <c r="I5" s="5"/>
      <c r="J5" s="40"/>
      <c r="K5" s="41"/>
      <c r="L5" s="41"/>
      <c r="M5" s="4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3">
        <v>4</v>
      </c>
      <c r="B6" s="3">
        <v>-6</v>
      </c>
      <c r="C6" s="3">
        <v>-12</v>
      </c>
      <c r="D6" s="3">
        <v>20</v>
      </c>
      <c r="E6" s="6"/>
      <c r="F6" s="2"/>
      <c r="G6" s="2"/>
      <c r="H6" s="5"/>
      <c r="I6" s="5"/>
      <c r="J6" s="5"/>
      <c r="K6" s="5"/>
      <c r="L6" s="5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3">
        <v>5</v>
      </c>
      <c r="B7" s="3">
        <v>-4</v>
      </c>
      <c r="C7" s="3">
        <v>-7</v>
      </c>
      <c r="D7" s="3">
        <v>16</v>
      </c>
      <c r="E7" s="6"/>
      <c r="F7" s="2"/>
      <c r="G7" s="2"/>
      <c r="H7" s="5"/>
      <c r="I7" s="6"/>
      <c r="J7" s="6"/>
      <c r="K7" s="6"/>
      <c r="L7" s="6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3">
        <v>6</v>
      </c>
      <c r="B8" s="3">
        <v>10</v>
      </c>
      <c r="C8" s="3">
        <v>16</v>
      </c>
      <c r="D8" s="3">
        <v>8</v>
      </c>
      <c r="E8" s="6"/>
      <c r="F8" s="1" t="s">
        <v>5</v>
      </c>
      <c r="G8" s="7"/>
      <c r="H8" s="5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8" t="s">
        <v>6</v>
      </c>
      <c r="B9" s="9">
        <f>_xlfn.VAR.S(C3:C8)</f>
        <v>172.96666666666664</v>
      </c>
      <c r="C9" s="8" t="s">
        <v>7</v>
      </c>
      <c r="D9" s="10">
        <f>_xlfn.COVARIANCE.S(C3:C8,B3:B8)</f>
        <v>102.6</v>
      </c>
      <c r="E9" s="2"/>
      <c r="F9" s="11" t="s">
        <v>8</v>
      </c>
      <c r="G9" s="12">
        <f>D9/D11</f>
        <v>1.6548387096774193</v>
      </c>
      <c r="H9" s="5"/>
      <c r="I9" s="6"/>
      <c r="J9" s="6"/>
      <c r="K9" s="6"/>
      <c r="L9" s="6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8" t="s">
        <v>9</v>
      </c>
      <c r="B10" s="9">
        <f>_xlfn.VAR.S(D3:D8)</f>
        <v>23.466666666666676</v>
      </c>
      <c r="C10" s="8" t="s">
        <v>10</v>
      </c>
      <c r="D10" s="10">
        <f>_xlfn.COVARIANCE.S(D3:D8,B3:B8)</f>
        <v>-34.4</v>
      </c>
      <c r="E10" s="2"/>
      <c r="F10" s="11" t="s">
        <v>11</v>
      </c>
      <c r="G10" s="12">
        <f>D10/D11</f>
        <v>-0.55483870967741933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8" t="s">
        <v>12</v>
      </c>
      <c r="B11" s="9">
        <f>CORREL(C3:C8,D3:D8)</f>
        <v>-0.93130479153011858</v>
      </c>
      <c r="C11" s="8" t="s">
        <v>13</v>
      </c>
      <c r="D11" s="10">
        <f>_xlfn.VAR.S(B3:B8)</f>
        <v>62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7"/>
      <c r="C14" s="7"/>
      <c r="D14" s="43" t="s">
        <v>14</v>
      </c>
      <c r="E14" s="41"/>
      <c r="F14" s="41"/>
      <c r="G14" s="4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1" t="s">
        <v>15</v>
      </c>
      <c r="C15" s="1" t="s">
        <v>16</v>
      </c>
      <c r="D15" s="1" t="s">
        <v>17</v>
      </c>
      <c r="E15" s="1" t="s">
        <v>3</v>
      </c>
      <c r="F15" s="1" t="s">
        <v>18</v>
      </c>
      <c r="G15" s="1" t="s">
        <v>19</v>
      </c>
      <c r="H15" s="2"/>
      <c r="I15" s="1" t="s">
        <v>20</v>
      </c>
      <c r="J15" s="13">
        <f>SUMPRODUCT(C16:C18,E16:E18)</f>
        <v>17.399999999999999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14" t="s">
        <v>21</v>
      </c>
      <c r="C16" s="3">
        <v>0.3</v>
      </c>
      <c r="D16" s="3">
        <v>7</v>
      </c>
      <c r="E16" s="3">
        <v>9</v>
      </c>
      <c r="F16" s="3">
        <v>15</v>
      </c>
      <c r="G16" s="3">
        <v>-2</v>
      </c>
      <c r="H16" s="2"/>
      <c r="I16" s="1" t="s">
        <v>22</v>
      </c>
      <c r="J16" s="13">
        <f>SUMPRODUCT(C16:C18,F16:F18)</f>
        <v>10.3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14" t="s">
        <v>23</v>
      </c>
      <c r="C17" s="3">
        <v>0.4</v>
      </c>
      <c r="D17" s="3">
        <v>7</v>
      </c>
      <c r="E17" s="3">
        <v>18</v>
      </c>
      <c r="F17" s="3">
        <v>10</v>
      </c>
      <c r="G17" s="3">
        <v>14</v>
      </c>
      <c r="H17" s="2"/>
      <c r="I17" s="1" t="s">
        <v>24</v>
      </c>
      <c r="J17" s="13">
        <f>SUMPRODUCT(C16:C18,G16:G18)</f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14" t="s">
        <v>25</v>
      </c>
      <c r="C18" s="3">
        <v>0.3</v>
      </c>
      <c r="D18" s="3">
        <v>7</v>
      </c>
      <c r="E18" s="3">
        <v>25</v>
      </c>
      <c r="F18" s="3">
        <v>6</v>
      </c>
      <c r="G18" s="3">
        <v>20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"/>
      <c r="B20" s="1"/>
      <c r="C20" s="1"/>
      <c r="D20" s="1" t="s">
        <v>26</v>
      </c>
      <c r="E20" s="1"/>
      <c r="F20" s="1"/>
      <c r="G20" s="2"/>
      <c r="H20" s="2"/>
      <c r="I20" s="1" t="s">
        <v>27</v>
      </c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"/>
      <c r="B21" s="1" t="s">
        <v>15</v>
      </c>
      <c r="C21" s="1" t="s">
        <v>16</v>
      </c>
      <c r="D21" s="1" t="s">
        <v>3</v>
      </c>
      <c r="E21" s="1" t="s">
        <v>18</v>
      </c>
      <c r="F21" s="1" t="s">
        <v>28</v>
      </c>
      <c r="G21" s="2"/>
      <c r="H21" s="2"/>
      <c r="I21" s="14" t="s">
        <v>29</v>
      </c>
      <c r="J21" s="15"/>
      <c r="K21" s="16">
        <f>SUMPRODUCT(C22:C24,D22:D24,E22:E24)</f>
        <v>-21.72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5" x14ac:dyDescent="0.35">
      <c r="A22" s="2"/>
      <c r="B22" s="14" t="s">
        <v>21</v>
      </c>
      <c r="C22" s="3">
        <v>0.3</v>
      </c>
      <c r="D22" s="3">
        <f t="shared" ref="D22:D24" si="0">(E16-$J$15)</f>
        <v>-8.3999999999999986</v>
      </c>
      <c r="E22" s="3">
        <f t="shared" ref="E22:E24" si="1">F16-$J$16</f>
        <v>4.6999999999999993</v>
      </c>
      <c r="F22" s="3">
        <f t="shared" ref="F22:F24" si="2">G16-$J$17</f>
        <v>-13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5" x14ac:dyDescent="0.35">
      <c r="A23" s="2"/>
      <c r="B23" s="14" t="s">
        <v>23</v>
      </c>
      <c r="C23" s="3">
        <v>0.4</v>
      </c>
      <c r="D23" s="3">
        <f t="shared" si="0"/>
        <v>0.60000000000000142</v>
      </c>
      <c r="E23" s="3">
        <f t="shared" si="1"/>
        <v>-0.30000000000000071</v>
      </c>
      <c r="F23" s="3">
        <f t="shared" si="2"/>
        <v>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5" x14ac:dyDescent="0.35">
      <c r="A24" s="2"/>
      <c r="B24" s="14" t="s">
        <v>25</v>
      </c>
      <c r="C24" s="3">
        <v>0.3</v>
      </c>
      <c r="D24" s="3">
        <f t="shared" si="0"/>
        <v>7.6000000000000014</v>
      </c>
      <c r="E24" s="3">
        <f t="shared" si="1"/>
        <v>-4.3000000000000007</v>
      </c>
      <c r="F24" s="3">
        <f t="shared" si="2"/>
        <v>9</v>
      </c>
      <c r="G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5" x14ac:dyDescent="0.35">
      <c r="A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5" x14ac:dyDescent="0.35">
      <c r="A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5" x14ac:dyDescent="0.35">
      <c r="A27" s="2"/>
      <c r="B27" s="2"/>
      <c r="C27" s="1" t="s">
        <v>30</v>
      </c>
      <c r="D27" s="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5" x14ac:dyDescent="0.35">
      <c r="A28" s="2"/>
      <c r="B28" s="2"/>
      <c r="C28" s="14" t="s">
        <v>31</v>
      </c>
      <c r="D28" s="16">
        <f>G9*(J17-D16)+D16</f>
        <v>13.619354838709677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5" x14ac:dyDescent="0.35">
      <c r="A29" s="2"/>
      <c r="B29" s="2"/>
      <c r="C29" s="14" t="s">
        <v>32</v>
      </c>
      <c r="D29" s="16">
        <f>G10*(J17-D16)+D16</f>
        <v>4.7806451612903231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5" x14ac:dyDescent="0.35">
      <c r="A33" s="2"/>
      <c r="B33" s="8" t="s">
        <v>12</v>
      </c>
      <c r="C33" s="10">
        <v>-1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5" x14ac:dyDescent="0.35">
      <c r="A34" s="2"/>
      <c r="B34" s="8" t="s">
        <v>33</v>
      </c>
      <c r="C34" s="10"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5" x14ac:dyDescent="0.35">
      <c r="A35" s="2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5" x14ac:dyDescent="0.35">
      <c r="A36" s="2"/>
      <c r="B36" s="8" t="s">
        <v>34</v>
      </c>
      <c r="C36" s="10">
        <v>0.22888296267029973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5" x14ac:dyDescent="0.35">
      <c r="A37" s="2"/>
      <c r="B37" s="8" t="s">
        <v>35</v>
      </c>
      <c r="C37" s="10">
        <f>1-C36</f>
        <v>0.77111703732970027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5" x14ac:dyDescent="0.35">
      <c r="A38" s="2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5" x14ac:dyDescent="0.35">
      <c r="A39" s="2"/>
      <c r="B39" s="8" t="s">
        <v>36</v>
      </c>
      <c r="C39" s="9">
        <f>C36*G9+C37*G10</f>
        <v>-4.908119538982153E-2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5" x14ac:dyDescent="0.35">
      <c r="A41" s="2"/>
      <c r="B41" s="14" t="s">
        <v>37</v>
      </c>
      <c r="C41" s="16">
        <f>C36*D28+C37*D29</f>
        <v>6.8036752184407145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5" x14ac:dyDescent="0.35">
      <c r="A45" s="2"/>
      <c r="B45" s="8" t="s">
        <v>34</v>
      </c>
      <c r="C45" s="10">
        <v>0.5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5" x14ac:dyDescent="0.35">
      <c r="A46" s="2"/>
      <c r="B46" s="8" t="s">
        <v>35</v>
      </c>
      <c r="C46" s="10">
        <v>0.5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5" x14ac:dyDescent="0.35">
      <c r="A47" s="2"/>
      <c r="B47" s="1" t="s">
        <v>38</v>
      </c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5" x14ac:dyDescent="0.35">
      <c r="A48" s="2"/>
      <c r="B48" s="14" t="s">
        <v>39</v>
      </c>
      <c r="C48" s="16">
        <f>C45*D28+C46*D29</f>
        <v>9.1999999999999993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5" x14ac:dyDescent="0.35">
      <c r="A49" s="2"/>
      <c r="B49" s="14" t="s">
        <v>40</v>
      </c>
      <c r="C49" s="17">
        <f>SQRT(C45^2*B9+C46^2*B10+2*C45*C46*SQRT(B9)*SQRT(B10)*B11)</f>
        <v>4.4092705367970622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5" x14ac:dyDescent="0.35">
      <c r="A51" s="2" t="s">
        <v>41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5" x14ac:dyDescent="0.35">
      <c r="A52" s="2"/>
      <c r="B52" s="42" t="s">
        <v>42</v>
      </c>
      <c r="C52" s="41"/>
      <c r="D52" s="41"/>
      <c r="E52" s="41"/>
      <c r="F52" s="4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mergeCells count="4">
    <mergeCell ref="J5:M5"/>
    <mergeCell ref="B52:F52"/>
    <mergeCell ref="C1:D1"/>
    <mergeCell ref="D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8" workbookViewId="0">
      <selection sqref="A1:E1"/>
    </sheetView>
  </sheetViews>
  <sheetFormatPr defaultColWidth="12.6328125" defaultRowHeight="15.75" customHeight="1" x14ac:dyDescent="0.25"/>
  <cols>
    <col min="1" max="1" width="21.26953125" customWidth="1"/>
    <col min="8" max="8" width="21.08984375" customWidth="1"/>
    <col min="9" max="9" width="22.26953125" customWidth="1"/>
    <col min="10" max="10" width="22" customWidth="1"/>
    <col min="11" max="11" width="21.7265625" customWidth="1"/>
  </cols>
  <sheetData>
    <row r="1" spans="1:26" ht="15.75" customHeight="1" x14ac:dyDescent="0.25">
      <c r="A1" s="46" t="s">
        <v>43</v>
      </c>
      <c r="B1" s="41"/>
      <c r="C1" s="41"/>
      <c r="D1" s="41"/>
      <c r="E1" s="4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x14ac:dyDescent="0.3">
      <c r="A2" s="19" t="s">
        <v>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3">
      <c r="A3" s="44" t="s">
        <v>45</v>
      </c>
      <c r="B3" s="41"/>
      <c r="C3" s="44" t="s">
        <v>46</v>
      </c>
      <c r="D3" s="41"/>
      <c r="E3" s="41"/>
      <c r="F3" s="41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3">
      <c r="A4" s="41"/>
      <c r="B4" s="41"/>
      <c r="C4" s="20" t="s">
        <v>47</v>
      </c>
      <c r="D4" s="20" t="s">
        <v>48</v>
      </c>
      <c r="E4" s="20" t="s">
        <v>49</v>
      </c>
      <c r="F4" s="20" t="s">
        <v>50</v>
      </c>
      <c r="G4" s="18"/>
      <c r="H4" s="20" t="s">
        <v>51</v>
      </c>
      <c r="I4" s="21" t="s">
        <v>52</v>
      </c>
      <c r="J4" s="21" t="s">
        <v>53</v>
      </c>
      <c r="K4" s="21" t="s">
        <v>54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3">
      <c r="A5" s="20" t="s">
        <v>21</v>
      </c>
      <c r="B5" s="18">
        <v>0.45</v>
      </c>
      <c r="C5" s="22">
        <v>-0.08</v>
      </c>
      <c r="D5" s="22">
        <v>-0.03</v>
      </c>
      <c r="E5" s="22">
        <v>0.22700000000000001</v>
      </c>
      <c r="F5" s="22">
        <v>4.4999999999999998E-2</v>
      </c>
      <c r="G5" s="18"/>
      <c r="H5" s="18">
        <f t="shared" ref="H5:H8" si="0">B5*(C5-$C$10)^2</f>
        <v>4.7509031250000007E-3</v>
      </c>
      <c r="I5" s="18">
        <f t="shared" ref="I5:I8" si="1">B5*(D5-$D$10)^2</f>
        <v>7.3727999999999997E-3</v>
      </c>
      <c r="J5" s="18">
        <f t="shared" ref="J5:J8" si="2">B5*(E5-$E$10)^2</f>
        <v>3.864895031250001E-3</v>
      </c>
      <c r="K5" s="18">
        <f t="shared" ref="K5:K8" si="3">B5*(F5-$F$10)^2</f>
        <v>3.2896125000000005E-3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3">
      <c r="A6" s="20" t="s">
        <v>55</v>
      </c>
      <c r="B6" s="18">
        <v>0.25</v>
      </c>
      <c r="C6" s="22">
        <v>1.4999999999999999E-2</v>
      </c>
      <c r="D6" s="22">
        <v>7.0000000000000007E-2</v>
      </c>
      <c r="E6" s="22">
        <v>0.1767</v>
      </c>
      <c r="F6" s="22">
        <v>0.125</v>
      </c>
      <c r="G6" s="18"/>
      <c r="H6" s="18">
        <f t="shared" si="0"/>
        <v>1.5015624999999999E-5</v>
      </c>
      <c r="I6" s="18">
        <f t="shared" si="1"/>
        <v>1.9600000000000016E-4</v>
      </c>
      <c r="J6" s="18">
        <f t="shared" si="2"/>
        <v>4.4891015624999993E-4</v>
      </c>
      <c r="K6" s="18">
        <f t="shared" si="3"/>
        <v>7.5625000000000136E-6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3">
      <c r="A7" s="20" t="s">
        <v>56</v>
      </c>
      <c r="B7" s="18">
        <v>0.2</v>
      </c>
      <c r="C7" s="22">
        <v>0.15</v>
      </c>
      <c r="D7" s="22">
        <v>0.28000000000000003</v>
      </c>
      <c r="E7" s="22">
        <v>-0.02</v>
      </c>
      <c r="F7" s="22">
        <v>0.22</v>
      </c>
      <c r="G7" s="18"/>
      <c r="H7" s="18">
        <f t="shared" si="0"/>
        <v>3.2385125000000004E-3</v>
      </c>
      <c r="I7" s="18">
        <f t="shared" si="1"/>
        <v>6.6248000000000001E-3</v>
      </c>
      <c r="J7" s="18">
        <f t="shared" si="2"/>
        <v>4.7632411249999996E-3</v>
      </c>
      <c r="K7" s="18">
        <f t="shared" si="3"/>
        <v>1.60205E-3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3">
      <c r="A8" s="20" t="s">
        <v>57</v>
      </c>
      <c r="B8" s="18">
        <v>0.1</v>
      </c>
      <c r="C8" s="22">
        <v>0.25</v>
      </c>
      <c r="D8" s="22">
        <v>0.38</v>
      </c>
      <c r="E8" s="22">
        <v>-0.08</v>
      </c>
      <c r="F8" s="22">
        <v>0.35</v>
      </c>
      <c r="G8" s="18"/>
      <c r="H8" s="18">
        <f t="shared" si="0"/>
        <v>5.1642562500000006E-3</v>
      </c>
      <c r="I8" s="18">
        <f t="shared" si="1"/>
        <v>7.9523999999999984E-3</v>
      </c>
      <c r="J8" s="18">
        <f t="shared" si="2"/>
        <v>4.5935205624999999E-3</v>
      </c>
      <c r="K8" s="18">
        <f t="shared" si="3"/>
        <v>4.8180249999999992E-3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3">
      <c r="A10" s="23" t="s">
        <v>58</v>
      </c>
      <c r="B10" s="24"/>
      <c r="C10" s="25">
        <f t="shared" ref="C10:F10" si="4">SUMPRODUCT($B$5:$B$8,C5:C8)</f>
        <v>2.2749999999999999E-2</v>
      </c>
      <c r="D10" s="25">
        <f t="shared" si="4"/>
        <v>9.8000000000000018E-2</v>
      </c>
      <c r="E10" s="25">
        <f t="shared" si="4"/>
        <v>0.134325</v>
      </c>
      <c r="F10" s="25">
        <f t="shared" si="4"/>
        <v>0.1305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3">
      <c r="A11" s="23" t="s">
        <v>59</v>
      </c>
      <c r="B11" s="24"/>
      <c r="C11" s="26">
        <f t="shared" ref="C11:F11" si="5">SUM(H5:H8)</f>
        <v>1.3168687500000002E-2</v>
      </c>
      <c r="D11" s="26">
        <f t="shared" si="5"/>
        <v>2.2145999999999999E-2</v>
      </c>
      <c r="E11" s="26">
        <f t="shared" si="5"/>
        <v>1.3670566875E-2</v>
      </c>
      <c r="F11" s="26">
        <f t="shared" si="5"/>
        <v>9.7172500000000002E-3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3">
      <c r="A12" s="23" t="s">
        <v>60</v>
      </c>
      <c r="B12" s="24"/>
      <c r="C12" s="25">
        <f t="shared" ref="C12:F12" si="6">SQRT(C11)</f>
        <v>0.11475490185608631</v>
      </c>
      <c r="D12" s="25">
        <f t="shared" si="6"/>
        <v>0.14881532179181012</v>
      </c>
      <c r="E12" s="25">
        <f t="shared" si="6"/>
        <v>0.11692119942508288</v>
      </c>
      <c r="F12" s="25">
        <f t="shared" si="6"/>
        <v>9.8576112725142495E-2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3">
      <c r="A15" s="19" t="s">
        <v>61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3">
      <c r="A16" s="20" t="s">
        <v>47</v>
      </c>
      <c r="B16" s="20" t="s">
        <v>48</v>
      </c>
      <c r="C16" s="20" t="s">
        <v>49</v>
      </c>
      <c r="D16" s="20" t="s">
        <v>50</v>
      </c>
      <c r="E16" s="23" t="s">
        <v>62</v>
      </c>
      <c r="F16" s="23" t="s">
        <v>63</v>
      </c>
      <c r="G16" s="20" t="s">
        <v>64</v>
      </c>
      <c r="H16" s="20"/>
      <c r="I16" s="20" t="s">
        <v>47</v>
      </c>
      <c r="J16" s="20" t="s">
        <v>48</v>
      </c>
      <c r="K16" s="20" t="s">
        <v>49</v>
      </c>
      <c r="L16" s="20" t="s">
        <v>50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3">
      <c r="A17" s="22">
        <v>0.2</v>
      </c>
      <c r="B17" s="22">
        <v>0.3</v>
      </c>
      <c r="C17" s="22">
        <v>0.4</v>
      </c>
      <c r="D17" s="22">
        <v>0.1</v>
      </c>
      <c r="E17" s="25">
        <f>SQRT((A17*C12)^2 + (B17*D12)^2 + (C17*E12)^2 + (D17*F12)^2 + (2*J17*A17*B17*C12*D12)+(2*K17*A17*C17*C12*E12)+(2*L17*A17*D17*C12*F12)+(2*K18*B17*C17*D12*E12)+(2*L18*B17*D17*D12*F12)+(2*L19*C17*D17*E12*F12))</f>
        <v>3.168520633084445E-2</v>
      </c>
      <c r="F17" s="25">
        <f t="shared" ref="F17:F21" si="7">SUMPRODUCT(A17:D17,$C$10:$F$10)</f>
        <v>0.10073000000000001</v>
      </c>
      <c r="G17" s="18">
        <v>1</v>
      </c>
      <c r="H17" s="20" t="s">
        <v>47</v>
      </c>
      <c r="I17" s="18">
        <v>1</v>
      </c>
      <c r="J17" s="18">
        <f>I18</f>
        <v>0.99633752217426363</v>
      </c>
      <c r="K17" s="18">
        <f>I19</f>
        <v>-0.9835377203019855</v>
      </c>
      <c r="L17" s="18">
        <f>I20</f>
        <v>0.99126857152173431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x14ac:dyDescent="0.3">
      <c r="A18" s="22">
        <v>0.25</v>
      </c>
      <c r="B18" s="22">
        <v>0.25</v>
      </c>
      <c r="C18" s="22">
        <v>0.25</v>
      </c>
      <c r="D18" s="22">
        <v>0.25</v>
      </c>
      <c r="E18" s="25">
        <f>SQRT((A18*C12)^2 + (B18*D12)^2 + (C18*E12)^2 + (D18*F12)^2 + (2*J17*A18*B18*C12*D12)+(2*K17*A18*C18*C12*E12)+(2*L17*A18*D18*C12*F12)+(2*K18*B18*C18*D12*E12)+(2*L18*B18*D18*D12*F12)+(2*L19*C18*D18*E12*F12))</f>
        <v>6.1608762133881993E-2</v>
      </c>
      <c r="F18" s="25">
        <f t="shared" si="7"/>
        <v>9.6393750000000014E-2</v>
      </c>
      <c r="G18" s="18">
        <v>2</v>
      </c>
      <c r="H18" s="20" t="s">
        <v>48</v>
      </c>
      <c r="I18" s="18">
        <f>CORREL(C5:C8,D5:D8)</f>
        <v>0.99633752217426363</v>
      </c>
      <c r="J18" s="18">
        <v>1</v>
      </c>
      <c r="K18" s="18">
        <f>CORREL(D5:D8,E5:E8)</f>
        <v>-0.99517475222576368</v>
      </c>
      <c r="L18" s="18">
        <f>CORREL(F5:F8,D5:D8)</f>
        <v>0.9793662905936581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3">
      <c r="A19" s="22">
        <v>0.35</v>
      </c>
      <c r="B19" s="22">
        <v>0.15</v>
      </c>
      <c r="C19" s="22">
        <v>0.3</v>
      </c>
      <c r="D19" s="22">
        <v>0.2</v>
      </c>
      <c r="E19" s="25">
        <f>SQRT((A19*C12)^2 + (B19*D12)^2 + (C19*E12)^2 + (D19*F12)^2 + (2*J17*A19*B19*C12*D12)+(2*K17*A19*C19*C12*E12)+(2*L17*A19*D19*C12*F12)+(2*K18*B19*C19*D12*E12)+(2*L18*B19*D19*D12*F12)+(2*L19*C19*D19*E12*F12))</f>
        <v>4.7864157045329592E-2</v>
      </c>
      <c r="F19" s="25">
        <f t="shared" si="7"/>
        <v>8.906E-2</v>
      </c>
      <c r="G19" s="18">
        <v>3</v>
      </c>
      <c r="H19" s="20" t="s">
        <v>49</v>
      </c>
      <c r="I19" s="18">
        <f>CORREL(C5:C8,E5:E8)</f>
        <v>-0.9835377203019855</v>
      </c>
      <c r="J19" s="18">
        <f>K18</f>
        <v>-0.99517475222576368</v>
      </c>
      <c r="K19" s="18">
        <v>1</v>
      </c>
      <c r="L19" s="18">
        <f>CORREL(E5:E8,F5:F8)</f>
        <v>-0.96038389441214767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" x14ac:dyDescent="0.3">
      <c r="A20" s="22">
        <v>0.4</v>
      </c>
      <c r="B20" s="22">
        <v>0.15</v>
      </c>
      <c r="C20" s="22">
        <v>0.3</v>
      </c>
      <c r="D20" s="22">
        <v>0.15</v>
      </c>
      <c r="E20" s="27">
        <f>SQRT((A20*C12)^2 + (B20*D12)^2 + (C20*E12)^2 + (D20*F12)^2 + (2*J17*A20*B20*C12*D12)+(2*K17*A20*C20*C12*E12)+(2*L17*A20*D20*C12*F12)+(2*K18*B20*C20*D12*E12)+(2*L18*B20*D20*D12*F12)+(2*L19*C20*D20*E12*F12))</f>
        <v>4.8645462095282366E-2</v>
      </c>
      <c r="F20" s="25">
        <f t="shared" si="7"/>
        <v>8.3672499999999997E-2</v>
      </c>
      <c r="G20" s="18">
        <v>4</v>
      </c>
      <c r="H20" s="20" t="s">
        <v>50</v>
      </c>
      <c r="I20" s="18">
        <f>CORREL(C5:C8,F5:F8)</f>
        <v>0.99126857152173431</v>
      </c>
      <c r="J20" s="18">
        <f>L18</f>
        <v>0.9793662905936581</v>
      </c>
      <c r="K20" s="18">
        <f>L19</f>
        <v>-0.96038389441214767</v>
      </c>
      <c r="L20" s="18">
        <v>1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" x14ac:dyDescent="0.3">
      <c r="A21" s="22">
        <v>0.3</v>
      </c>
      <c r="B21" s="22">
        <v>0.2</v>
      </c>
      <c r="C21" s="22">
        <v>0.25</v>
      </c>
      <c r="D21" s="22">
        <v>0.25</v>
      </c>
      <c r="E21" s="27">
        <f>SQRT((A21*C12)^2 + (B21*D12)^2 + (C21*E12)^2 + (D21*F12)^2 + (2*J17*A21*B21*C12*D12)+(2*K17*A21*C21*C12*E12)+(2*L17*A21*D21*C12*F12)+(2*K18*B21*C21*D12*E12)+(2*L18*B21*D21*D12*F12)+(2*L19*C21*D21*E12*F12))</f>
        <v>5.998801371787723E-2</v>
      </c>
      <c r="F21" s="25">
        <f t="shared" si="7"/>
        <v>9.2631249999999998E-2</v>
      </c>
      <c r="G21" s="18">
        <v>5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5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5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" x14ac:dyDescent="0.3">
      <c r="A24" s="19" t="s">
        <v>65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5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39" x14ac:dyDescent="0.3">
      <c r="A26" s="20" t="s">
        <v>66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" x14ac:dyDescent="0.3">
      <c r="A27" s="28">
        <f t="shared" ref="A27:A31" si="8">F17/E17</f>
        <v>3.1790861308655218</v>
      </c>
      <c r="B27" s="45" t="s">
        <v>67</v>
      </c>
      <c r="C27" s="41"/>
      <c r="D27" s="41"/>
      <c r="E27" s="41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5" x14ac:dyDescent="0.25">
      <c r="A28" s="28">
        <f t="shared" si="8"/>
        <v>1.5646110498134465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5" x14ac:dyDescent="0.25">
      <c r="A29" s="28">
        <f t="shared" si="8"/>
        <v>1.8606825127131357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5" x14ac:dyDescent="0.25">
      <c r="A30" s="28">
        <f t="shared" si="8"/>
        <v>1.7200473876907534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5" x14ac:dyDescent="0.25">
      <c r="A31" s="28">
        <f t="shared" si="8"/>
        <v>1.5441626461520037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5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5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5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39" x14ac:dyDescent="0.3">
      <c r="A35" s="20" t="s">
        <v>68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5" x14ac:dyDescent="0.25">
      <c r="A36" s="28">
        <f>C10/C12</f>
        <v>0.19824861188527432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5" x14ac:dyDescent="0.25">
      <c r="A37" s="28">
        <f>D10/D12</f>
        <v>0.65853434189458127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5" x14ac:dyDescent="0.25">
      <c r="A38" s="28">
        <f>E10/E12</f>
        <v>1.1488506845678452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" x14ac:dyDescent="0.3">
      <c r="A39" s="28">
        <f>F10/F12</f>
        <v>1.3238501335903776</v>
      </c>
      <c r="B39" s="45" t="s">
        <v>69</v>
      </c>
      <c r="C39" s="41"/>
      <c r="D39" s="41"/>
      <c r="E39" s="41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5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5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5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5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5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5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5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5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5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5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5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5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5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5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5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5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5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5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5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5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5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5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5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5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5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5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5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5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5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5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5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5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5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5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5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5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5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5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5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5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5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5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5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5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5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5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5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5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5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5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5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5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5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5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5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5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5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5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5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5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5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5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5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5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5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5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5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5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5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5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5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5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5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5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5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5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5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5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5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5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5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5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5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5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5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5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5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5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5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5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5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5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5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5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5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5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5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5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5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5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5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5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5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5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5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5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5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5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5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5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5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5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5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5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5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5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5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5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5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5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5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5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5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5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5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5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5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5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5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5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5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5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5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5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5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5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5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5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5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5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5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5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5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5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5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5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5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5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5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5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5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5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5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5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5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5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5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5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5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5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5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5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5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5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5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5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5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5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5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5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5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5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5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5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5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5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5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5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5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5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5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5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5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5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5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5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5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5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5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5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5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5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5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5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5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5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5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5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5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5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5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5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5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5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5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5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5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5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5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5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5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5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5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5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5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5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5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5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5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5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5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5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5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5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5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5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5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5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5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5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5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5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5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5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5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5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5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5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5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5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5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5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5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5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5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5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5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5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5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5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5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5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5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5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5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5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5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5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5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5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5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5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5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5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5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5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5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5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5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5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5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5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5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5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5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5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5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5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5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5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5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5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5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5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5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5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5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5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5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5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5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5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5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5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5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5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5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5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5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5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5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5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5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5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5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5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5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5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5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5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5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5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5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5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5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5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5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5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5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5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5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5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5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5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5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5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5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5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5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5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5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5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5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5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5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5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5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5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5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5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5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5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5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5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5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5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5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5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5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5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5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5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5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5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5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5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5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5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5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5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5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5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5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5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5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5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5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5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5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5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5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5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5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5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5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5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5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5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5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5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5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5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5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5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5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5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5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5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5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5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5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5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5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5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5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5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5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5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5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5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5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5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5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5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5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5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5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5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5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5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5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5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5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5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5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5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5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5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5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5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5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5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5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5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5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5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5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5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5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5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5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5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5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5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5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5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5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5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5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5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5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5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5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5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5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5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5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5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5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5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5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5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5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5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5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5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5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5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5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5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5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5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5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5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5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5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5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5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5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5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5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5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5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5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5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5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5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5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5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5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5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5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5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5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5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5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5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5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5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5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5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5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5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5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5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5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5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5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5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5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5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5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5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5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5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5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5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5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5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5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5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5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5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5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5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5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5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5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5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5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5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5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5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5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5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5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5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5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5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5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5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5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5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5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5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5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5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5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5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5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5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5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5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5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5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5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5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5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5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5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5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5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5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5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5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5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5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5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5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5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5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5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5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5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5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5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5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5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5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5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5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5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5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5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5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5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5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5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5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5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5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5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5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5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5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5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5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5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5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5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5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5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5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5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5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5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5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5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5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5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5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5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5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5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5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5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5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5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5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5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5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5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5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5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5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5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5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5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5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5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5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5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5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5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5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5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5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5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5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5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5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5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5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5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5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5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5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5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5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5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5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5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5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5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5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5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5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5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5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5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5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5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5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5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5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5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5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5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5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5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5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5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5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5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5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5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5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5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5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5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5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5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5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5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5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5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5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5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5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5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5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5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5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5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5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5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5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5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5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5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5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5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5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5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5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5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5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5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5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5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5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5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5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5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5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5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5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5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5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5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5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5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5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5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5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5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5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5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5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5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5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5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5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5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5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5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5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5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5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5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5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5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5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5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5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5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5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5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5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5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5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5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5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5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5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5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5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5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5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5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5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5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5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5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5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5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5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5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5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5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5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5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5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5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5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5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5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5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5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5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5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5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5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5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5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5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5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5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5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5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5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5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5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5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5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5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5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5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5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5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5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5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5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5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5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5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5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5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5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5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5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5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5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5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5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5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5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5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5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5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5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5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5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5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5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5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5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5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5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5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5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5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5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5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5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5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5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5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5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5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5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5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5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5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5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5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5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5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5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5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5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5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5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5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5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5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5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5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5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5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5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5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5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5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5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5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5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5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5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5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5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5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5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5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5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5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5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5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5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5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5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5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5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5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5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5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5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5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5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5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5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5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5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5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5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5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5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5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5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5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5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5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5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5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5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5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5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5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5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5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5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5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5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5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5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5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5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5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5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5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5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5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5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5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5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5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5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5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5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5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5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5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5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5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5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5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5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5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5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5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5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5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5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5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5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5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5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5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5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5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5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5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5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5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5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5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5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5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5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5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5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5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5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5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5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5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5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5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5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5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5">
    <mergeCell ref="A3:B4"/>
    <mergeCell ref="C3:F3"/>
    <mergeCell ref="B27:E27"/>
    <mergeCell ref="B39:E39"/>
    <mergeCell ref="A1:E1"/>
  </mergeCells>
  <conditionalFormatting sqref="A27:A31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36:A3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I17:L20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K24"/>
  <sheetViews>
    <sheetView topLeftCell="A9" workbookViewId="0">
      <selection activeCell="D14" sqref="D14"/>
    </sheetView>
  </sheetViews>
  <sheetFormatPr defaultColWidth="12.6328125" defaultRowHeight="15.75" customHeight="1" x14ac:dyDescent="0.25"/>
  <cols>
    <col min="1" max="1" width="13.90625" customWidth="1"/>
    <col min="2" max="2" width="17.08984375" customWidth="1"/>
    <col min="3" max="3" width="14.7265625" customWidth="1"/>
    <col min="4" max="4" width="15.36328125" customWidth="1"/>
    <col min="9" max="9" width="13.90625" customWidth="1"/>
  </cols>
  <sheetData>
    <row r="2" spans="1:11" x14ac:dyDescent="0.3">
      <c r="A2" s="47" t="s">
        <v>70</v>
      </c>
      <c r="B2" s="41"/>
      <c r="C2" s="41"/>
      <c r="D2" s="41"/>
      <c r="F2" s="47" t="s">
        <v>71</v>
      </c>
      <c r="G2" s="41"/>
      <c r="I2" s="47" t="s">
        <v>72</v>
      </c>
      <c r="J2" s="41"/>
    </row>
    <row r="3" spans="1:11" x14ac:dyDescent="0.3">
      <c r="A3" s="29" t="s">
        <v>73</v>
      </c>
      <c r="B3" s="30">
        <v>0.7</v>
      </c>
      <c r="C3" s="30"/>
      <c r="D3" s="30"/>
      <c r="F3" s="29" t="s">
        <v>74</v>
      </c>
      <c r="G3" s="30">
        <v>0.14000000000000001</v>
      </c>
      <c r="I3" s="29" t="s">
        <v>75</v>
      </c>
      <c r="J3" s="30">
        <v>0.18</v>
      </c>
    </row>
    <row r="4" spans="1:11" x14ac:dyDescent="0.3">
      <c r="A4" s="30"/>
      <c r="B4" s="29" t="s">
        <v>16</v>
      </c>
      <c r="C4" s="29" t="s">
        <v>76</v>
      </c>
      <c r="D4" s="29" t="s">
        <v>77</v>
      </c>
      <c r="F4" s="29" t="s">
        <v>78</v>
      </c>
      <c r="G4" s="30">
        <v>0.34</v>
      </c>
    </row>
    <row r="5" spans="1:11" x14ac:dyDescent="0.3">
      <c r="A5" s="29" t="s">
        <v>79</v>
      </c>
      <c r="B5" s="30"/>
      <c r="C5" s="30">
        <v>9768</v>
      </c>
      <c r="D5" s="30"/>
      <c r="F5" s="29" t="s">
        <v>80</v>
      </c>
      <c r="G5" s="30">
        <v>0.24</v>
      </c>
    </row>
    <row r="6" spans="1:11" x14ac:dyDescent="0.3">
      <c r="A6" s="29" t="s">
        <v>81</v>
      </c>
      <c r="B6" s="30">
        <v>0.2</v>
      </c>
      <c r="C6" s="30">
        <v>6345</v>
      </c>
      <c r="D6" s="30">
        <f t="shared" ref="D6:D8" si="0">(C6-$C$5)/$C$5</f>
        <v>-0.35042997542997545</v>
      </c>
      <c r="F6" s="29" t="s">
        <v>82</v>
      </c>
      <c r="G6" s="30">
        <v>0.36</v>
      </c>
    </row>
    <row r="7" spans="1:11" x14ac:dyDescent="0.3">
      <c r="A7" s="29" t="s">
        <v>83</v>
      </c>
      <c r="B7" s="30">
        <v>0.6</v>
      </c>
      <c r="C7" s="30">
        <v>8657</v>
      </c>
      <c r="D7" s="30">
        <f t="shared" si="0"/>
        <v>-0.11373873873873874</v>
      </c>
      <c r="F7" s="29" t="s">
        <v>84</v>
      </c>
      <c r="G7" s="30">
        <f>G5*G4/J3</f>
        <v>0.45333333333333337</v>
      </c>
    </row>
    <row r="8" spans="1:11" x14ac:dyDescent="0.3">
      <c r="A8" s="29" t="s">
        <v>85</v>
      </c>
      <c r="B8" s="30">
        <v>0.2</v>
      </c>
      <c r="C8" s="30">
        <v>9675</v>
      </c>
      <c r="D8" s="30">
        <f t="shared" si="0"/>
        <v>-9.5208845208845216E-3</v>
      </c>
    </row>
    <row r="9" spans="1:11" x14ac:dyDescent="0.3">
      <c r="A9" s="30"/>
      <c r="B9" s="30"/>
      <c r="C9" s="29" t="s">
        <v>86</v>
      </c>
      <c r="D9" s="30">
        <f>(B6*D6)+(B7*D7)+(B8*D8)</f>
        <v>-0.14023341523341523</v>
      </c>
    </row>
    <row r="10" spans="1:11" x14ac:dyDescent="0.3">
      <c r="A10" s="30"/>
      <c r="B10" s="30"/>
      <c r="C10" s="29" t="s">
        <v>87</v>
      </c>
      <c r="D10" s="30">
        <f>(B6*POWER(D9-D6,2))+(B7*POWER(D9-D7,2))+(B8*POWER(D9-D8,2))</f>
        <v>1.2674852650282628E-2</v>
      </c>
      <c r="G10" s="31" t="s">
        <v>88</v>
      </c>
      <c r="H10" s="32"/>
      <c r="I10" s="32"/>
      <c r="J10" s="32"/>
      <c r="K10" s="33"/>
    </row>
    <row r="11" spans="1:11" x14ac:dyDescent="0.3">
      <c r="A11" s="30"/>
      <c r="B11" s="30"/>
      <c r="C11" s="29" t="s">
        <v>89</v>
      </c>
      <c r="D11" s="30">
        <f>SQRT(D10)</f>
        <v>0.11258264808700597</v>
      </c>
      <c r="G11" s="34" t="s">
        <v>90</v>
      </c>
      <c r="H11" s="30"/>
      <c r="I11" s="30"/>
      <c r="J11" s="30"/>
      <c r="K11" s="35"/>
    </row>
    <row r="12" spans="1:11" x14ac:dyDescent="0.3">
      <c r="A12" s="30"/>
      <c r="B12" s="30"/>
      <c r="C12" s="29" t="s">
        <v>91</v>
      </c>
      <c r="D12" s="30">
        <f>B3*J3*D11</f>
        <v>1.4185413658962752E-2</v>
      </c>
      <c r="G12" s="36" t="s">
        <v>92</v>
      </c>
      <c r="H12" s="37"/>
      <c r="I12" s="37"/>
      <c r="J12" s="37"/>
      <c r="K12" s="38"/>
    </row>
    <row r="13" spans="1:11" x14ac:dyDescent="0.3">
      <c r="A13" s="30"/>
      <c r="B13" s="30"/>
      <c r="C13" s="29" t="s">
        <v>84</v>
      </c>
      <c r="D13" s="30">
        <f>D12/POWER(J3,2)</f>
        <v>0.43782140922724544</v>
      </c>
    </row>
    <row r="17" spans="1:5" ht="15.75" customHeight="1" x14ac:dyDescent="0.25">
      <c r="A17" s="48" t="s">
        <v>64</v>
      </c>
      <c r="B17" s="41"/>
      <c r="C17" s="41"/>
      <c r="D17" s="41"/>
      <c r="E17" s="39"/>
    </row>
    <row r="18" spans="1:5" x14ac:dyDescent="0.3">
      <c r="A18" s="29" t="s">
        <v>93</v>
      </c>
      <c r="B18" s="29" t="s">
        <v>94</v>
      </c>
      <c r="C18" s="29" t="s">
        <v>95</v>
      </c>
      <c r="D18" s="29" t="s">
        <v>84</v>
      </c>
    </row>
    <row r="19" spans="1:5" x14ac:dyDescent="0.3">
      <c r="A19" s="29" t="s">
        <v>96</v>
      </c>
      <c r="B19" s="30">
        <v>0.7</v>
      </c>
      <c r="C19" s="30">
        <f>D9</f>
        <v>-0.14023341523341523</v>
      </c>
      <c r="D19" s="30">
        <f>D13</f>
        <v>0.43782140922724544</v>
      </c>
    </row>
    <row r="20" spans="1:5" ht="13" x14ac:dyDescent="0.3">
      <c r="A20" s="29" t="s">
        <v>97</v>
      </c>
      <c r="B20" s="30">
        <v>0.3</v>
      </c>
      <c r="C20" s="30">
        <f>G3</f>
        <v>0.14000000000000001</v>
      </c>
      <c r="D20" s="30">
        <f>G7</f>
        <v>0.45333333333333337</v>
      </c>
    </row>
    <row r="21" spans="1:5" ht="13" x14ac:dyDescent="0.3">
      <c r="A21" s="30"/>
      <c r="B21" s="29" t="s">
        <v>98</v>
      </c>
      <c r="C21" s="30">
        <f>((B19*C19)+(B20*C20))*100</f>
        <v>-5.6163390663390649</v>
      </c>
      <c r="D21" s="30"/>
    </row>
    <row r="22" spans="1:5" ht="13" x14ac:dyDescent="0.3">
      <c r="A22" s="30"/>
      <c r="B22" s="29" t="s">
        <v>59</v>
      </c>
      <c r="C22" s="30">
        <f>B19*B19*D11*D11+B20*B20*G4*G4+2*B19*B20*G6*D11*G4</f>
        <v>2.2402326571495292E-2</v>
      </c>
      <c r="D22" s="30"/>
    </row>
    <row r="23" spans="1:5" ht="13" x14ac:dyDescent="0.3">
      <c r="A23" s="30"/>
      <c r="B23" s="29" t="s">
        <v>99</v>
      </c>
      <c r="C23" s="30">
        <f>SQRT(C22)</f>
        <v>0.14967406779898546</v>
      </c>
      <c r="D23" s="30"/>
    </row>
    <row r="24" spans="1:5" ht="13" x14ac:dyDescent="0.3">
      <c r="A24" s="30"/>
      <c r="B24" s="29" t="s">
        <v>84</v>
      </c>
      <c r="C24" s="30">
        <f>B19*D19+B20*D20</f>
        <v>0.4424749864590718</v>
      </c>
      <c r="D24" s="30"/>
    </row>
  </sheetData>
  <mergeCells count="4">
    <mergeCell ref="A2:D2"/>
    <mergeCell ref="F2:G2"/>
    <mergeCell ref="I2:J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Siwach</cp:lastModifiedBy>
  <dcterms:modified xsi:type="dcterms:W3CDTF">2024-02-08T11:22:20Z</dcterms:modified>
</cp:coreProperties>
</file>