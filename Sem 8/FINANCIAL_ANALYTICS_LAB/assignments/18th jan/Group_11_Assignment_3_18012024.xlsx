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3" sheetId="2" r:id="rId5"/>
    <sheet state="visible" name="Q4" sheetId="3" r:id="rId6"/>
  </sheets>
  <definedNames/>
  <calcPr/>
</workbook>
</file>

<file path=xl/sharedStrings.xml><?xml version="1.0" encoding="utf-8"?>
<sst xmlns="http://schemas.openxmlformats.org/spreadsheetml/2006/main" count="56" uniqueCount="42">
  <si>
    <t>Current salary</t>
  </si>
  <si>
    <t>IIM X</t>
  </si>
  <si>
    <t>LSE</t>
  </si>
  <si>
    <t>Current Salary</t>
  </si>
  <si>
    <t>increase rate</t>
  </si>
  <si>
    <t>tax</t>
  </si>
  <si>
    <t>Tuition</t>
  </si>
  <si>
    <t>supplies</t>
  </si>
  <si>
    <t>offer</t>
  </si>
  <si>
    <t>signing bonus</t>
  </si>
  <si>
    <t xml:space="preserve">Tuition </t>
  </si>
  <si>
    <t xml:space="preserve">increase rate </t>
  </si>
  <si>
    <t>NPV</t>
  </si>
  <si>
    <t>Question 1 (ii) part</t>
  </si>
  <si>
    <t>NPV(salary=1)</t>
  </si>
  <si>
    <t>Salary</t>
  </si>
  <si>
    <t>IIM X - LOAN</t>
  </si>
  <si>
    <t>CASHFLOW WITHOUT EMI</t>
  </si>
  <si>
    <t>EMI</t>
  </si>
  <si>
    <t>POST EMI CASHFLOW</t>
  </si>
  <si>
    <t>POST TAX INCOME</t>
  </si>
  <si>
    <t>TVM OF CASH FLOWS</t>
  </si>
  <si>
    <t>LSE - LOAN</t>
  </si>
  <si>
    <t>CASHFLOW</t>
  </si>
  <si>
    <t>Initial Dividend</t>
  </si>
  <si>
    <t>Present Value of dividends</t>
  </si>
  <si>
    <t>D1</t>
  </si>
  <si>
    <t>Year 1</t>
  </si>
  <si>
    <t>D2</t>
  </si>
  <si>
    <t>Year 2</t>
  </si>
  <si>
    <t>D3</t>
  </si>
  <si>
    <t>Year 3</t>
  </si>
  <si>
    <t>D4</t>
  </si>
  <si>
    <t>Year 4</t>
  </si>
  <si>
    <t>D5</t>
  </si>
  <si>
    <t>Year 5</t>
  </si>
  <si>
    <t>D6</t>
  </si>
  <si>
    <t>Year 6</t>
  </si>
  <si>
    <t>Value of dividends of constant growth</t>
  </si>
  <si>
    <t>Stock Price</t>
  </si>
  <si>
    <t>YTM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</si>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</sst>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3" fontId="3" numFmtId="0" xfId="0" applyFont="1"/>
    <xf borderId="0" fillId="4" fontId="3" numFmtId="0" xfId="0" applyFont="1"/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9" xfId="0" applyAlignment="1" applyFont="1" applyNumberForma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3" fontId="4" numFmtId="10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horizontal="right" vertical="bottom"/>
    </xf>
    <xf borderId="0" fillId="2" fontId="5" numFmtId="0" xfId="0" applyAlignment="1" applyFont="1">
      <alignment readingOrder="0" vertical="bottom"/>
    </xf>
    <xf borderId="0" fillId="4" fontId="4" numFmtId="10" xfId="0" applyAlignment="1" applyFont="1" applyNumberFormat="1">
      <alignment horizontal="right" vertical="bottom"/>
    </xf>
    <xf borderId="0" fillId="4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/>
      <c r="B1" s="1"/>
      <c r="C1" s="1"/>
      <c r="D1" s="2" t="s">
        <v>0</v>
      </c>
      <c r="G1" s="3"/>
      <c r="H1" s="3"/>
      <c r="I1" s="2" t="s">
        <v>1</v>
      </c>
      <c r="L1" s="3"/>
      <c r="M1" s="2" t="s">
        <v>2</v>
      </c>
    </row>
    <row r="2">
      <c r="A2" s="4" t="s">
        <v>3</v>
      </c>
      <c r="B2" s="5">
        <v>5800000.0</v>
      </c>
      <c r="C2" s="6"/>
      <c r="D2" s="6">
        <f>B2</f>
        <v>5800000</v>
      </c>
      <c r="E2" s="6">
        <f t="shared" ref="E2:E21" si="2">D2*(1-$B$4)</f>
        <v>4292000</v>
      </c>
      <c r="F2" s="6">
        <f t="shared" ref="F2:F21" si="3">E2/pow(1.065,G2)</f>
        <v>4030046.948</v>
      </c>
      <c r="G2" s="5">
        <v>1.0</v>
      </c>
      <c r="H2" s="6"/>
      <c r="I2" s="6">
        <f>-B8-B9-275000-260000</f>
        <v>-7600000</v>
      </c>
      <c r="J2" s="6">
        <f t="shared" ref="J2:K2" si="1">I2</f>
        <v>-7600000</v>
      </c>
      <c r="K2" s="6">
        <f t="shared" si="1"/>
        <v>-7600000</v>
      </c>
      <c r="L2" s="6"/>
      <c r="M2" s="6">
        <f>-B17-B18-275000-260000</f>
        <v>-9885000</v>
      </c>
      <c r="N2" s="6">
        <v>-9885000.0</v>
      </c>
      <c r="O2" s="6">
        <v>-9885000.0</v>
      </c>
    </row>
    <row r="3">
      <c r="A3" s="5" t="s">
        <v>4</v>
      </c>
      <c r="B3" s="5">
        <v>0.03</v>
      </c>
      <c r="C3" s="6"/>
      <c r="D3" s="6">
        <f t="shared" ref="D3:D21" si="4">D2*(1+$B$3)</f>
        <v>5974000</v>
      </c>
      <c r="E3" s="6">
        <f t="shared" si="2"/>
        <v>4420760</v>
      </c>
      <c r="F3" s="6">
        <f t="shared" si="3"/>
        <v>3897604.091</v>
      </c>
      <c r="G3" s="5">
        <v>2.0</v>
      </c>
      <c r="H3" s="6"/>
      <c r="I3" s="6">
        <f>I2</f>
        <v>-7600000</v>
      </c>
      <c r="J3" s="6">
        <f>I3</f>
        <v>-7600000</v>
      </c>
      <c r="K3" s="6">
        <f t="shared" ref="K3:K22" si="5">J3/pow(1.065,G2)</f>
        <v>-7136150.235</v>
      </c>
      <c r="L3" s="6"/>
      <c r="M3" s="6">
        <f>B20</f>
        <v>1700000</v>
      </c>
      <c r="N3" s="6">
        <f t="shared" ref="N3:N22" si="6">M3*0.71</f>
        <v>1207000</v>
      </c>
      <c r="O3" s="6">
        <f t="shared" ref="O3:O22" si="7">N3/pow(1.065,G2)</f>
        <v>1133333.333</v>
      </c>
    </row>
    <row r="4">
      <c r="A4" s="5" t="s">
        <v>5</v>
      </c>
      <c r="B4" s="5">
        <v>0.26</v>
      </c>
      <c r="C4" s="6"/>
      <c r="D4" s="6">
        <f t="shared" si="4"/>
        <v>6153220</v>
      </c>
      <c r="E4" s="6">
        <f t="shared" si="2"/>
        <v>4553382.8</v>
      </c>
      <c r="F4" s="6">
        <f t="shared" si="3"/>
        <v>3769513.816</v>
      </c>
      <c r="G4" s="5">
        <v>3.0</v>
      </c>
      <c r="H4" s="6"/>
      <c r="I4" s="5">
        <v>1800000.0</v>
      </c>
      <c r="J4" s="6">
        <f t="shared" ref="J4:J22" si="8">I4*0.69</f>
        <v>1242000</v>
      </c>
      <c r="K4" s="6">
        <f t="shared" si="5"/>
        <v>1095020.829</v>
      </c>
      <c r="L4" s="6"/>
      <c r="M4" s="6">
        <f>B19</f>
        <v>9800000</v>
      </c>
      <c r="N4" s="6">
        <f t="shared" si="6"/>
        <v>6958000</v>
      </c>
      <c r="O4" s="6">
        <f t="shared" si="7"/>
        <v>6134585.29</v>
      </c>
    </row>
    <row r="5">
      <c r="A5" s="6"/>
      <c r="B5" s="6"/>
      <c r="C5" s="6"/>
      <c r="D5" s="6">
        <f t="shared" si="4"/>
        <v>6337816.6</v>
      </c>
      <c r="E5" s="6">
        <f t="shared" si="2"/>
        <v>4689984.284</v>
      </c>
      <c r="F5" s="6">
        <f t="shared" si="3"/>
        <v>3645633.08</v>
      </c>
      <c r="G5" s="5">
        <v>4.0</v>
      </c>
      <c r="H5" s="6"/>
      <c r="I5" s="6">
        <f>B10</f>
        <v>11500000</v>
      </c>
      <c r="J5" s="6">
        <f t="shared" si="8"/>
        <v>7935000</v>
      </c>
      <c r="K5" s="6">
        <f t="shared" si="5"/>
        <v>6568982.543</v>
      </c>
      <c r="L5" s="6"/>
      <c r="M5" s="6">
        <f t="shared" ref="M5:M22" si="9">M4*1.035</f>
        <v>10143000</v>
      </c>
      <c r="N5" s="6">
        <f t="shared" si="6"/>
        <v>7201530</v>
      </c>
      <c r="O5" s="6">
        <f t="shared" si="7"/>
        <v>5961780.07</v>
      </c>
    </row>
    <row r="6">
      <c r="A6" s="6"/>
      <c r="B6" s="6"/>
      <c r="C6" s="6"/>
      <c r="D6" s="6">
        <f t="shared" si="4"/>
        <v>6527951.098</v>
      </c>
      <c r="E6" s="6">
        <f t="shared" si="2"/>
        <v>4830683.813</v>
      </c>
      <c r="F6" s="6">
        <f t="shared" si="3"/>
        <v>3525823.542</v>
      </c>
      <c r="G6" s="5">
        <v>5.0</v>
      </c>
      <c r="H6" s="6"/>
      <c r="I6" s="6">
        <f t="shared" ref="I6:I22" si="10">I5*1.04</f>
        <v>11960000</v>
      </c>
      <c r="J6" s="6">
        <f t="shared" si="8"/>
        <v>8252400</v>
      </c>
      <c r="K6" s="6">
        <f t="shared" si="5"/>
        <v>6414781.075</v>
      </c>
      <c r="L6" s="6"/>
      <c r="M6" s="6">
        <f t="shared" si="9"/>
        <v>10498005</v>
      </c>
      <c r="N6" s="6">
        <f t="shared" si="6"/>
        <v>7453583.55</v>
      </c>
      <c r="O6" s="6">
        <f t="shared" si="7"/>
        <v>5793842.603</v>
      </c>
    </row>
    <row r="7">
      <c r="A7" s="4" t="s">
        <v>1</v>
      </c>
      <c r="B7" s="6"/>
      <c r="C7" s="6"/>
      <c r="D7" s="6">
        <f t="shared" si="4"/>
        <v>6723789.631</v>
      </c>
      <c r="E7" s="6">
        <f t="shared" si="2"/>
        <v>4975604.327</v>
      </c>
      <c r="F7" s="6">
        <f t="shared" si="3"/>
        <v>3409951.407</v>
      </c>
      <c r="G7" s="5">
        <v>6.0</v>
      </c>
      <c r="H7" s="6"/>
      <c r="I7" s="6">
        <f t="shared" si="10"/>
        <v>12438400</v>
      </c>
      <c r="J7" s="6">
        <f t="shared" si="8"/>
        <v>8582496</v>
      </c>
      <c r="K7" s="6">
        <f t="shared" si="5"/>
        <v>6264199.36</v>
      </c>
      <c r="L7" s="6"/>
      <c r="M7" s="6">
        <f t="shared" si="9"/>
        <v>10865435.18</v>
      </c>
      <c r="N7" s="6">
        <f t="shared" si="6"/>
        <v>7714458.974</v>
      </c>
      <c r="O7" s="6">
        <f t="shared" si="7"/>
        <v>5630635.769</v>
      </c>
    </row>
    <row r="8">
      <c r="A8" s="5" t="s">
        <v>6</v>
      </c>
      <c r="B8" s="5">
        <v>6800000.0</v>
      </c>
      <c r="C8" s="6"/>
      <c r="D8" s="6">
        <f t="shared" si="4"/>
        <v>6925503.32</v>
      </c>
      <c r="E8" s="6">
        <f t="shared" si="2"/>
        <v>5124872.457</v>
      </c>
      <c r="F8" s="6">
        <f t="shared" si="3"/>
        <v>3297887.276</v>
      </c>
      <c r="G8" s="5">
        <v>7.0</v>
      </c>
      <c r="H8" s="6"/>
      <c r="I8" s="6">
        <f t="shared" si="10"/>
        <v>12935936</v>
      </c>
      <c r="J8" s="6">
        <f t="shared" si="8"/>
        <v>8925795.84</v>
      </c>
      <c r="K8" s="6">
        <f t="shared" si="5"/>
        <v>6117152.427</v>
      </c>
      <c r="L8" s="6"/>
      <c r="M8" s="6">
        <f t="shared" si="9"/>
        <v>11245725.41</v>
      </c>
      <c r="N8" s="6">
        <f t="shared" si="6"/>
        <v>7984465.038</v>
      </c>
      <c r="O8" s="6">
        <f t="shared" si="7"/>
        <v>5472026.311</v>
      </c>
    </row>
    <row r="9">
      <c r="A9" s="5" t="s">
        <v>7</v>
      </c>
      <c r="B9" s="5">
        <v>265000.0</v>
      </c>
      <c r="C9" s="6"/>
      <c r="D9" s="6">
        <f t="shared" si="4"/>
        <v>7133268.419</v>
      </c>
      <c r="E9" s="6">
        <f t="shared" si="2"/>
        <v>5278618.63</v>
      </c>
      <c r="F9" s="6">
        <f t="shared" si="3"/>
        <v>3189506.004</v>
      </c>
      <c r="G9" s="5">
        <v>8.0</v>
      </c>
      <c r="H9" s="6"/>
      <c r="I9" s="6">
        <f t="shared" si="10"/>
        <v>13453373.44</v>
      </c>
      <c r="J9" s="6">
        <f t="shared" si="8"/>
        <v>9282827.674</v>
      </c>
      <c r="K9" s="6">
        <f t="shared" si="5"/>
        <v>5973557.299</v>
      </c>
      <c r="L9" s="6"/>
      <c r="M9" s="6">
        <f t="shared" si="9"/>
        <v>11639325.8</v>
      </c>
      <c r="N9" s="6">
        <f t="shared" si="6"/>
        <v>8263921.315</v>
      </c>
      <c r="O9" s="6">
        <f t="shared" si="7"/>
        <v>5317884.725</v>
      </c>
    </row>
    <row r="10">
      <c r="A10" s="5" t="s">
        <v>8</v>
      </c>
      <c r="B10" s="5">
        <v>1.15E7</v>
      </c>
      <c r="C10" s="6"/>
      <c r="D10" s="6">
        <f t="shared" si="4"/>
        <v>7347266.472</v>
      </c>
      <c r="E10" s="6">
        <f t="shared" si="2"/>
        <v>5436977.189</v>
      </c>
      <c r="F10" s="6">
        <f t="shared" si="3"/>
        <v>3084686.558</v>
      </c>
      <c r="G10" s="5">
        <v>9.0</v>
      </c>
      <c r="H10" s="6"/>
      <c r="I10" s="6">
        <f t="shared" si="10"/>
        <v>13991508.38</v>
      </c>
      <c r="J10" s="6">
        <f t="shared" si="8"/>
        <v>9654140.781</v>
      </c>
      <c r="K10" s="6">
        <f t="shared" si="5"/>
        <v>5833332.949</v>
      </c>
      <c r="L10" s="6"/>
      <c r="M10" s="6">
        <f t="shared" si="9"/>
        <v>12046702.2</v>
      </c>
      <c r="N10" s="6">
        <f t="shared" si="6"/>
        <v>8553158.561</v>
      </c>
      <c r="O10" s="6">
        <f t="shared" si="7"/>
        <v>5168085.155</v>
      </c>
    </row>
    <row r="11">
      <c r="A11" s="5" t="s">
        <v>9</v>
      </c>
      <c r="B11" s="5">
        <v>1800000.0</v>
      </c>
      <c r="C11" s="6"/>
      <c r="D11" s="6">
        <f t="shared" si="4"/>
        <v>7567684.466</v>
      </c>
      <c r="E11" s="6">
        <f t="shared" si="2"/>
        <v>5600086.505</v>
      </c>
      <c r="F11" s="6">
        <f t="shared" si="3"/>
        <v>2983311.882</v>
      </c>
      <c r="G11" s="5">
        <v>10.0</v>
      </c>
      <c r="H11" s="6"/>
      <c r="I11" s="6">
        <f t="shared" si="10"/>
        <v>14551168.71</v>
      </c>
      <c r="J11" s="6">
        <f t="shared" si="8"/>
        <v>10040306.41</v>
      </c>
      <c r="K11" s="6">
        <f t="shared" si="5"/>
        <v>5696400.251</v>
      </c>
      <c r="L11" s="6"/>
      <c r="M11" s="6">
        <f t="shared" si="9"/>
        <v>12468336.78</v>
      </c>
      <c r="N11" s="6">
        <f t="shared" si="6"/>
        <v>8852519.11</v>
      </c>
      <c r="O11" s="6">
        <f t="shared" si="7"/>
        <v>5022505.292</v>
      </c>
    </row>
    <row r="12">
      <c r="A12" s="5" t="s">
        <v>4</v>
      </c>
      <c r="B12" s="5">
        <v>0.04</v>
      </c>
      <c r="C12" s="6"/>
      <c r="D12" s="6">
        <f t="shared" si="4"/>
        <v>7794715</v>
      </c>
      <c r="E12" s="6">
        <f t="shared" si="2"/>
        <v>5768089.1</v>
      </c>
      <c r="F12" s="6">
        <f t="shared" si="3"/>
        <v>2885268.769</v>
      </c>
      <c r="G12" s="5">
        <v>11.0</v>
      </c>
      <c r="H12" s="6"/>
      <c r="I12" s="6">
        <f t="shared" si="10"/>
        <v>15133215.46</v>
      </c>
      <c r="J12" s="6">
        <f t="shared" si="8"/>
        <v>10441918.67</v>
      </c>
      <c r="K12" s="6">
        <f t="shared" si="5"/>
        <v>5562681.935</v>
      </c>
      <c r="L12" s="6"/>
      <c r="M12" s="6">
        <f t="shared" si="9"/>
        <v>12904728.56</v>
      </c>
      <c r="N12" s="6">
        <f t="shared" si="6"/>
        <v>9162357.279</v>
      </c>
      <c r="O12" s="6">
        <f t="shared" si="7"/>
        <v>4881026.269</v>
      </c>
    </row>
    <row r="13">
      <c r="A13" s="5" t="s">
        <v>5</v>
      </c>
      <c r="B13" s="5">
        <v>0.31</v>
      </c>
      <c r="C13" s="6"/>
      <c r="D13" s="6">
        <f t="shared" si="4"/>
        <v>8028556.45</v>
      </c>
      <c r="E13" s="6">
        <f t="shared" si="2"/>
        <v>5941131.773</v>
      </c>
      <c r="F13" s="6">
        <f t="shared" si="3"/>
        <v>2790447.73</v>
      </c>
      <c r="G13" s="5">
        <v>12.0</v>
      </c>
      <c r="H13" s="6"/>
      <c r="I13" s="6">
        <f t="shared" si="10"/>
        <v>15738544.08</v>
      </c>
      <c r="J13" s="6">
        <f t="shared" si="8"/>
        <v>10859595.41</v>
      </c>
      <c r="K13" s="6">
        <f t="shared" si="5"/>
        <v>5432102.547</v>
      </c>
      <c r="L13" s="6"/>
      <c r="M13" s="6">
        <f t="shared" si="9"/>
        <v>13356394.06</v>
      </c>
      <c r="N13" s="6">
        <f t="shared" si="6"/>
        <v>9483039.784</v>
      </c>
      <c r="O13" s="6">
        <f t="shared" si="7"/>
        <v>4743532.572</v>
      </c>
    </row>
    <row r="14">
      <c r="A14" s="6"/>
      <c r="B14" s="6"/>
      <c r="C14" s="6"/>
      <c r="D14" s="6">
        <f t="shared" si="4"/>
        <v>8269413.144</v>
      </c>
      <c r="E14" s="6">
        <f t="shared" si="2"/>
        <v>6119365.726</v>
      </c>
      <c r="F14" s="6">
        <f t="shared" si="3"/>
        <v>2698742.875</v>
      </c>
      <c r="G14" s="5">
        <v>13.0</v>
      </c>
      <c r="H14" s="6"/>
      <c r="I14" s="6">
        <f t="shared" si="10"/>
        <v>16368085.84</v>
      </c>
      <c r="J14" s="6">
        <f t="shared" si="8"/>
        <v>11293979.23</v>
      </c>
      <c r="K14" s="6">
        <f t="shared" si="5"/>
        <v>5304588.403</v>
      </c>
      <c r="L14" s="6"/>
      <c r="M14" s="6">
        <f t="shared" si="9"/>
        <v>13823867.85</v>
      </c>
      <c r="N14" s="6">
        <f t="shared" si="6"/>
        <v>9814946.176</v>
      </c>
      <c r="O14" s="6">
        <f t="shared" si="7"/>
        <v>4609911.936</v>
      </c>
    </row>
    <row r="15">
      <c r="A15" s="6"/>
      <c r="B15" s="6"/>
      <c r="C15" s="6"/>
      <c r="D15" s="6">
        <f t="shared" si="4"/>
        <v>8517495.538</v>
      </c>
      <c r="E15" s="6">
        <f t="shared" si="2"/>
        <v>6302946.698</v>
      </c>
      <c r="F15" s="6">
        <f t="shared" si="3"/>
        <v>2610051.794</v>
      </c>
      <c r="G15" s="5">
        <v>14.0</v>
      </c>
      <c r="H15" s="6"/>
      <c r="I15" s="6">
        <f t="shared" si="10"/>
        <v>17022809.28</v>
      </c>
      <c r="J15" s="6">
        <f t="shared" si="8"/>
        <v>11745738.4</v>
      </c>
      <c r="K15" s="6">
        <f t="shared" si="5"/>
        <v>5180067.548</v>
      </c>
      <c r="L15" s="6"/>
      <c r="M15" s="6">
        <f t="shared" si="9"/>
        <v>14307703.23</v>
      </c>
      <c r="N15" s="6">
        <f t="shared" si="6"/>
        <v>10158469.29</v>
      </c>
      <c r="O15" s="6">
        <f t="shared" si="7"/>
        <v>4480055.262</v>
      </c>
    </row>
    <row r="16">
      <c r="A16" s="4" t="s">
        <v>2</v>
      </c>
      <c r="B16" s="6"/>
      <c r="C16" s="6"/>
      <c r="D16" s="6">
        <f t="shared" si="4"/>
        <v>8773020.404</v>
      </c>
      <c r="E16" s="6">
        <f t="shared" si="2"/>
        <v>6492035.099</v>
      </c>
      <c r="F16" s="6">
        <f t="shared" si="3"/>
        <v>2524275.444</v>
      </c>
      <c r="G16" s="5">
        <v>15.0</v>
      </c>
      <c r="H16" s="6"/>
      <c r="I16" s="6">
        <f t="shared" si="10"/>
        <v>17703721.65</v>
      </c>
      <c r="J16" s="6">
        <f t="shared" si="8"/>
        <v>12215567.94</v>
      </c>
      <c r="K16" s="6">
        <f t="shared" si="5"/>
        <v>5058469.719</v>
      </c>
      <c r="L16" s="6"/>
      <c r="M16" s="6">
        <f t="shared" si="9"/>
        <v>14808472.84</v>
      </c>
      <c r="N16" s="6">
        <f t="shared" si="6"/>
        <v>10514015.72</v>
      </c>
      <c r="O16" s="6">
        <f t="shared" si="7"/>
        <v>4353856.522</v>
      </c>
    </row>
    <row r="17">
      <c r="A17" s="5" t="s">
        <v>10</v>
      </c>
      <c r="B17" s="5">
        <v>8900000.0</v>
      </c>
      <c r="C17" s="6"/>
      <c r="D17" s="6">
        <f t="shared" si="4"/>
        <v>9036211.016</v>
      </c>
      <c r="E17" s="6">
        <f t="shared" si="2"/>
        <v>6686796.152</v>
      </c>
      <c r="F17" s="6">
        <f t="shared" si="3"/>
        <v>2441318.035</v>
      </c>
      <c r="G17" s="5">
        <v>16.0</v>
      </c>
      <c r="H17" s="6"/>
      <c r="I17" s="6">
        <f t="shared" si="10"/>
        <v>18411870.51</v>
      </c>
      <c r="J17" s="6">
        <f t="shared" si="8"/>
        <v>12704190.65</v>
      </c>
      <c r="K17" s="6">
        <f t="shared" si="5"/>
        <v>4939726.298</v>
      </c>
      <c r="L17" s="6"/>
      <c r="M17" s="6">
        <f t="shared" si="9"/>
        <v>15326769.39</v>
      </c>
      <c r="N17" s="6">
        <f t="shared" si="6"/>
        <v>10882006.27</v>
      </c>
      <c r="O17" s="6">
        <f t="shared" si="7"/>
        <v>4231212.676</v>
      </c>
    </row>
    <row r="18">
      <c r="A18" s="5" t="s">
        <v>7</v>
      </c>
      <c r="B18" s="5">
        <v>450000.0</v>
      </c>
      <c r="C18" s="6"/>
      <c r="D18" s="6">
        <f t="shared" si="4"/>
        <v>9307297.347</v>
      </c>
      <c r="E18" s="6">
        <f t="shared" si="2"/>
        <v>6887400.037</v>
      </c>
      <c r="F18" s="6">
        <f t="shared" si="3"/>
        <v>2361086.926</v>
      </c>
      <c r="G18" s="5">
        <v>17.0</v>
      </c>
      <c r="H18" s="6"/>
      <c r="I18" s="6">
        <f t="shared" si="10"/>
        <v>19148345.33</v>
      </c>
      <c r="J18" s="6">
        <f t="shared" si="8"/>
        <v>13212358.28</v>
      </c>
      <c r="K18" s="6">
        <f t="shared" si="5"/>
        <v>4823770.282</v>
      </c>
      <c r="L18" s="6"/>
      <c r="M18" s="6">
        <f t="shared" si="9"/>
        <v>15863206.32</v>
      </c>
      <c r="N18" s="6">
        <f t="shared" si="6"/>
        <v>11262876.49</v>
      </c>
      <c r="O18" s="6">
        <f t="shared" si="7"/>
        <v>4112023.587</v>
      </c>
    </row>
    <row r="19">
      <c r="A19" s="5" t="s">
        <v>8</v>
      </c>
      <c r="B19" s="5">
        <v>9800000.0</v>
      </c>
      <c r="C19" s="6"/>
      <c r="D19" s="6">
        <f t="shared" si="4"/>
        <v>9586516.267</v>
      </c>
      <c r="E19" s="6">
        <f t="shared" si="2"/>
        <v>7094022.038</v>
      </c>
      <c r="F19" s="6">
        <f t="shared" si="3"/>
        <v>2283492.52</v>
      </c>
      <c r="G19" s="5">
        <v>18.0</v>
      </c>
      <c r="H19" s="6"/>
      <c r="I19" s="6">
        <f t="shared" si="10"/>
        <v>19914279.15</v>
      </c>
      <c r="J19" s="6">
        <f t="shared" si="8"/>
        <v>13740852.61</v>
      </c>
      <c r="K19" s="6">
        <f t="shared" si="5"/>
        <v>4710536.237</v>
      </c>
      <c r="L19" s="6"/>
      <c r="M19" s="6">
        <f t="shared" si="9"/>
        <v>16418418.54</v>
      </c>
      <c r="N19" s="6">
        <f t="shared" si="6"/>
        <v>11657077.16</v>
      </c>
      <c r="O19" s="6">
        <f t="shared" si="7"/>
        <v>3996191.936</v>
      </c>
    </row>
    <row r="20">
      <c r="A20" s="5" t="s">
        <v>9</v>
      </c>
      <c r="B20" s="5">
        <v>1700000.0</v>
      </c>
      <c r="C20" s="6"/>
      <c r="D20" s="6">
        <f t="shared" si="4"/>
        <v>9874111.755</v>
      </c>
      <c r="E20" s="6">
        <f t="shared" si="2"/>
        <v>7306842.699</v>
      </c>
      <c r="F20" s="6">
        <f t="shared" si="3"/>
        <v>2208448.165</v>
      </c>
      <c r="G20" s="5">
        <v>19.0</v>
      </c>
      <c r="H20" s="6"/>
      <c r="I20" s="6">
        <f t="shared" si="10"/>
        <v>20710850.31</v>
      </c>
      <c r="J20" s="6">
        <f t="shared" si="8"/>
        <v>14290486.72</v>
      </c>
      <c r="K20" s="6">
        <f t="shared" si="5"/>
        <v>4599960.269</v>
      </c>
      <c r="L20" s="6"/>
      <c r="M20" s="6">
        <f t="shared" si="9"/>
        <v>16993063.19</v>
      </c>
      <c r="N20" s="6">
        <f t="shared" si="6"/>
        <v>12065074.87</v>
      </c>
      <c r="O20" s="6">
        <f t="shared" si="7"/>
        <v>3883623.149</v>
      </c>
    </row>
    <row r="21">
      <c r="A21" s="5" t="s">
        <v>5</v>
      </c>
      <c r="B21" s="5">
        <v>0.29</v>
      </c>
      <c r="C21" s="6"/>
      <c r="D21" s="6">
        <f t="shared" si="4"/>
        <v>10170335.11</v>
      </c>
      <c r="E21" s="6">
        <f t="shared" si="2"/>
        <v>7526047.98</v>
      </c>
      <c r="F21" s="6">
        <f t="shared" si="3"/>
        <v>2135870.056</v>
      </c>
      <c r="G21" s="5">
        <v>20.0</v>
      </c>
      <c r="H21" s="6"/>
      <c r="I21" s="6">
        <f t="shared" si="10"/>
        <v>21539284.33</v>
      </c>
      <c r="J21" s="6">
        <f t="shared" si="8"/>
        <v>14862106.18</v>
      </c>
      <c r="K21" s="6">
        <f t="shared" si="5"/>
        <v>4491979.981</v>
      </c>
      <c r="L21" s="6"/>
      <c r="M21" s="6">
        <f t="shared" si="9"/>
        <v>17587820.4</v>
      </c>
      <c r="N21" s="6">
        <f t="shared" si="6"/>
        <v>12487352.49</v>
      </c>
      <c r="O21" s="6">
        <f t="shared" si="7"/>
        <v>3774225.314</v>
      </c>
    </row>
    <row r="22">
      <c r="A22" s="5" t="s">
        <v>11</v>
      </c>
      <c r="B22" s="5">
        <v>0.035</v>
      </c>
      <c r="C22" s="6"/>
      <c r="D22" s="6"/>
      <c r="E22" s="6"/>
      <c r="F22" s="6"/>
      <c r="G22" s="6"/>
      <c r="H22" s="6"/>
      <c r="I22" s="6">
        <f t="shared" si="10"/>
        <v>22400855.7</v>
      </c>
      <c r="J22" s="6">
        <f t="shared" si="8"/>
        <v>15456590.43</v>
      </c>
      <c r="K22" s="6">
        <f t="shared" si="5"/>
        <v>4386534.442</v>
      </c>
      <c r="L22" s="6"/>
      <c r="M22" s="6">
        <f t="shared" si="9"/>
        <v>18203394.12</v>
      </c>
      <c r="N22" s="6">
        <f t="shared" si="6"/>
        <v>12924409.82</v>
      </c>
      <c r="O22" s="6">
        <f t="shared" si="7"/>
        <v>3667909.108</v>
      </c>
    </row>
    <row r="23">
      <c r="A23" s="1"/>
      <c r="B23" s="1"/>
      <c r="C23" s="1"/>
      <c r="D23" s="3"/>
      <c r="E23" s="7" t="s">
        <v>12</v>
      </c>
      <c r="F23" s="3">
        <f>SUM(F2:F21)</f>
        <v>59772966.92</v>
      </c>
      <c r="G23" s="3"/>
      <c r="H23" s="3"/>
      <c r="I23" s="3"/>
      <c r="J23" s="7" t="s">
        <v>12</v>
      </c>
      <c r="K23" s="3">
        <f>SUM(K2:K22)</f>
        <v>83717694.16</v>
      </c>
      <c r="L23" s="3"/>
      <c r="M23" s="3"/>
      <c r="N23" s="7" t="s">
        <v>12</v>
      </c>
      <c r="O23" s="3">
        <f>SUM(O2:O22)</f>
        <v>82483246.88</v>
      </c>
    </row>
    <row r="26">
      <c r="D26" s="8" t="s">
        <v>13</v>
      </c>
    </row>
    <row r="27">
      <c r="D27" s="9">
        <v>1.0</v>
      </c>
      <c r="E27" s="10">
        <f t="shared" ref="E27:E46" si="11">D27*0.74</f>
        <v>0.74</v>
      </c>
      <c r="F27" s="10">
        <f t="shared" ref="F27:F46" si="12">E27/pow(1.065,G2)</f>
        <v>0.6948356808</v>
      </c>
    </row>
    <row r="28">
      <c r="D28" s="10">
        <f t="shared" ref="D28:D46" si="13">D27*1.03</f>
        <v>1.03</v>
      </c>
      <c r="E28" s="10">
        <f t="shared" si="11"/>
        <v>0.7622</v>
      </c>
      <c r="F28" s="10">
        <f t="shared" si="12"/>
        <v>0.6720007053</v>
      </c>
    </row>
    <row r="29">
      <c r="D29" s="10">
        <f t="shared" si="13"/>
        <v>1.0609</v>
      </c>
      <c r="E29" s="10">
        <f t="shared" si="11"/>
        <v>0.785066</v>
      </c>
      <c r="F29" s="10">
        <f t="shared" si="12"/>
        <v>0.6499161751</v>
      </c>
    </row>
    <row r="30">
      <c r="D30" s="10">
        <f t="shared" si="13"/>
        <v>1.092727</v>
      </c>
      <c r="E30" s="10">
        <f t="shared" si="11"/>
        <v>0.80861798</v>
      </c>
      <c r="F30" s="10">
        <f t="shared" si="12"/>
        <v>0.6285574276</v>
      </c>
    </row>
    <row r="31">
      <c r="D31" s="10">
        <f t="shared" si="13"/>
        <v>1.12550881</v>
      </c>
      <c r="E31" s="10">
        <f t="shared" si="11"/>
        <v>0.8328765194</v>
      </c>
      <c r="F31" s="10">
        <f t="shared" si="12"/>
        <v>0.6079006107</v>
      </c>
    </row>
    <row r="32">
      <c r="D32" s="10">
        <f t="shared" si="13"/>
        <v>1.159274074</v>
      </c>
      <c r="E32" s="10">
        <f t="shared" si="11"/>
        <v>0.857862815</v>
      </c>
      <c r="F32" s="10">
        <f t="shared" si="12"/>
        <v>0.5879226564</v>
      </c>
    </row>
    <row r="33">
      <c r="D33" s="10">
        <f t="shared" si="13"/>
        <v>1.194052297</v>
      </c>
      <c r="E33" s="10">
        <f t="shared" si="11"/>
        <v>0.8835986994</v>
      </c>
      <c r="F33" s="10">
        <f t="shared" si="12"/>
        <v>0.5686012545</v>
      </c>
    </row>
    <row r="34">
      <c r="D34" s="10">
        <f t="shared" si="13"/>
        <v>1.229873865</v>
      </c>
      <c r="E34" s="10">
        <f t="shared" si="11"/>
        <v>0.9101066604</v>
      </c>
      <c r="F34" s="10">
        <f t="shared" si="12"/>
        <v>0.5499148283</v>
      </c>
    </row>
    <row r="35">
      <c r="D35" s="10">
        <f t="shared" si="13"/>
        <v>1.266770081</v>
      </c>
      <c r="E35" s="10">
        <f t="shared" si="11"/>
        <v>0.9374098602</v>
      </c>
      <c r="F35" s="10">
        <f t="shared" si="12"/>
        <v>0.53184251</v>
      </c>
    </row>
    <row r="36">
      <c r="D36" s="10">
        <f t="shared" si="13"/>
        <v>1.304773184</v>
      </c>
      <c r="E36" s="10">
        <f t="shared" si="11"/>
        <v>0.965532156</v>
      </c>
      <c r="F36" s="10">
        <f t="shared" si="12"/>
        <v>0.5143641177</v>
      </c>
    </row>
    <row r="37">
      <c r="D37" s="10">
        <f t="shared" si="13"/>
        <v>1.343916379</v>
      </c>
      <c r="E37" s="10">
        <f t="shared" si="11"/>
        <v>0.9944981207</v>
      </c>
      <c r="F37" s="10">
        <f t="shared" si="12"/>
        <v>0.4974601326</v>
      </c>
    </row>
    <row r="38">
      <c r="D38" s="10">
        <f t="shared" si="13"/>
        <v>1.384233871</v>
      </c>
      <c r="E38" s="10">
        <f t="shared" si="11"/>
        <v>1.024333064</v>
      </c>
      <c r="F38" s="10">
        <f t="shared" si="12"/>
        <v>0.4811116775</v>
      </c>
    </row>
    <row r="39">
      <c r="D39" s="10">
        <f t="shared" si="13"/>
        <v>1.425760887</v>
      </c>
      <c r="E39" s="10">
        <f t="shared" si="11"/>
        <v>1.055063056</v>
      </c>
      <c r="F39" s="10">
        <f t="shared" si="12"/>
        <v>0.4653004956</v>
      </c>
    </row>
    <row r="40">
      <c r="D40" s="10">
        <f t="shared" si="13"/>
        <v>1.468533713</v>
      </c>
      <c r="E40" s="10">
        <f t="shared" si="11"/>
        <v>1.086714948</v>
      </c>
      <c r="F40" s="10">
        <f t="shared" si="12"/>
        <v>0.45000893</v>
      </c>
    </row>
    <row r="41">
      <c r="D41" s="10">
        <f t="shared" si="13"/>
        <v>1.512589725</v>
      </c>
      <c r="E41" s="10">
        <f t="shared" si="11"/>
        <v>1.119316396</v>
      </c>
      <c r="F41" s="10">
        <f t="shared" si="12"/>
        <v>0.4352199042</v>
      </c>
    </row>
    <row r="42">
      <c r="D42" s="10">
        <f t="shared" si="13"/>
        <v>1.557967417</v>
      </c>
      <c r="E42" s="10">
        <f t="shared" si="11"/>
        <v>1.152895888</v>
      </c>
      <c r="F42" s="10">
        <f t="shared" si="12"/>
        <v>0.4209169026</v>
      </c>
    </row>
    <row r="43">
      <c r="D43" s="10">
        <f t="shared" si="13"/>
        <v>1.604706439</v>
      </c>
      <c r="E43" s="10">
        <f t="shared" si="11"/>
        <v>1.187482765</v>
      </c>
      <c r="F43" s="10">
        <f t="shared" si="12"/>
        <v>0.4070839528</v>
      </c>
    </row>
    <row r="44">
      <c r="D44" s="10">
        <f t="shared" si="13"/>
        <v>1.652847632</v>
      </c>
      <c r="E44" s="10">
        <f t="shared" si="11"/>
        <v>1.223107248</v>
      </c>
      <c r="F44" s="10">
        <f t="shared" si="12"/>
        <v>0.3937056069</v>
      </c>
    </row>
    <row r="45">
      <c r="D45" s="10">
        <f t="shared" si="13"/>
        <v>1.702433061</v>
      </c>
      <c r="E45" s="10">
        <f t="shared" si="11"/>
        <v>1.259800465</v>
      </c>
      <c r="F45" s="10">
        <f t="shared" si="12"/>
        <v>0.380766925</v>
      </c>
    </row>
    <row r="46">
      <c r="D46" s="10">
        <f t="shared" si="13"/>
        <v>1.753506053</v>
      </c>
      <c r="E46" s="10">
        <f t="shared" si="11"/>
        <v>1.297594479</v>
      </c>
      <c r="F46" s="10">
        <f t="shared" si="12"/>
        <v>0.368253458</v>
      </c>
    </row>
    <row r="47">
      <c r="D47" s="1"/>
      <c r="E47" s="11" t="s">
        <v>14</v>
      </c>
      <c r="F47" s="1">
        <f>SUM(F27:F46)</f>
        <v>10.30568395</v>
      </c>
    </row>
    <row r="48">
      <c r="D48" s="1"/>
      <c r="E48" s="11" t="s">
        <v>15</v>
      </c>
      <c r="F48" s="1">
        <f>K23/F47</f>
        <v>8123448.629</v>
      </c>
    </row>
    <row r="51">
      <c r="A51" s="11" t="s">
        <v>16</v>
      </c>
    </row>
    <row r="52">
      <c r="A52" s="1" t="s">
        <v>17</v>
      </c>
      <c r="B52" s="6">
        <v>0.0</v>
      </c>
      <c r="C52" s="6">
        <v>0.0</v>
      </c>
      <c r="D52" s="6">
        <v>1800000.0</v>
      </c>
      <c r="E52" s="6">
        <v>1.15E7</v>
      </c>
      <c r="F52" s="6">
        <v>1.196E7</v>
      </c>
      <c r="G52" s="6">
        <v>1.24384E7</v>
      </c>
      <c r="H52" s="6">
        <v>1.2935936E7</v>
      </c>
      <c r="I52" s="6">
        <v>1.3453373440000001E7</v>
      </c>
      <c r="J52" s="6">
        <v>1.3991508377600001E7</v>
      </c>
      <c r="K52" s="6">
        <v>1.4551168712704001E7</v>
      </c>
      <c r="L52" s="6">
        <v>1.5133215461212162E7</v>
      </c>
      <c r="M52" s="6">
        <v>1.5738544079660648E7</v>
      </c>
      <c r="N52" s="6">
        <v>1.6368085842847075E7</v>
      </c>
      <c r="O52" s="6">
        <v>1.702280927656096E7</v>
      </c>
      <c r="P52" s="6">
        <v>1.7703721647623397E7</v>
      </c>
      <c r="Q52" s="6">
        <v>1.8411870513528332E7</v>
      </c>
      <c r="R52" s="6">
        <v>1.9148345334069464E7</v>
      </c>
      <c r="S52" s="6">
        <v>1.9914279147432245E7</v>
      </c>
      <c r="T52" s="6">
        <v>2.0710850313329536E7</v>
      </c>
      <c r="U52" s="6">
        <v>2.1539284325862717E7</v>
      </c>
      <c r="V52" s="6">
        <v>2.2400855698897228E7</v>
      </c>
    </row>
    <row r="53">
      <c r="A53" s="1" t="s">
        <v>18</v>
      </c>
      <c r="B53" s="6"/>
      <c r="C53" s="6"/>
      <c r="D53" s="6"/>
      <c r="E53" s="6">
        <v>-2146849.713639026</v>
      </c>
      <c r="F53" s="6">
        <v>-2146849.713639026</v>
      </c>
      <c r="G53" s="6">
        <v>-2146849.713639026</v>
      </c>
      <c r="H53" s="6">
        <v>-2146849.713639026</v>
      </c>
      <c r="I53" s="6">
        <v>-2146849.713639026</v>
      </c>
      <c r="J53" s="6">
        <v>-2146849.713639026</v>
      </c>
      <c r="K53" s="6">
        <v>-2146849.713639026</v>
      </c>
      <c r="L53" s="6">
        <v>-2146849.713639026</v>
      </c>
      <c r="M53" s="6">
        <v>-2146849.713639026</v>
      </c>
      <c r="N53" s="6">
        <v>-2146849.713639026</v>
      </c>
      <c r="O53" s="6"/>
      <c r="P53" s="6"/>
      <c r="Q53" s="6"/>
      <c r="R53" s="6"/>
      <c r="S53" s="6"/>
      <c r="T53" s="6"/>
      <c r="U53" s="6"/>
      <c r="V53" s="6"/>
    </row>
    <row r="54">
      <c r="A54" s="1" t="s">
        <v>19</v>
      </c>
      <c r="B54" s="6">
        <v>0.0</v>
      </c>
      <c r="C54" s="6">
        <v>0.0</v>
      </c>
      <c r="D54" s="6">
        <v>1800000.0</v>
      </c>
      <c r="E54" s="6">
        <v>9353150.286360973</v>
      </c>
      <c r="F54" s="6">
        <v>9813150.286360973</v>
      </c>
      <c r="G54" s="6">
        <v>1.0291550286360973E7</v>
      </c>
      <c r="H54" s="6">
        <v>1.0789086286360973E7</v>
      </c>
      <c r="I54" s="6">
        <v>1.1306523726360975E7</v>
      </c>
      <c r="J54" s="6">
        <v>1.1844658663960975E7</v>
      </c>
      <c r="K54" s="6">
        <v>1.2404318999064974E7</v>
      </c>
      <c r="L54" s="6">
        <v>1.2986365747573135E7</v>
      </c>
      <c r="M54" s="6">
        <v>1.3591694366021622E7</v>
      </c>
      <c r="N54" s="6">
        <v>1.4221236129208049E7</v>
      </c>
      <c r="O54" s="6">
        <v>1.702280927656096E7</v>
      </c>
      <c r="P54" s="6">
        <v>1.7703721647623397E7</v>
      </c>
      <c r="Q54" s="6">
        <v>1.8411870513528332E7</v>
      </c>
      <c r="R54" s="6">
        <v>1.9148345334069464E7</v>
      </c>
      <c r="S54" s="6">
        <v>1.9914279147432245E7</v>
      </c>
      <c r="T54" s="6">
        <v>2.0710850313329536E7</v>
      </c>
      <c r="U54" s="6">
        <v>2.1539284325862717E7</v>
      </c>
      <c r="V54" s="6">
        <v>2.2400855698897228E7</v>
      </c>
    </row>
    <row r="55">
      <c r="A55" s="1" t="s">
        <v>20</v>
      </c>
      <c r="B55" s="6">
        <v>0.0</v>
      </c>
      <c r="C55" s="6">
        <v>0.0</v>
      </c>
      <c r="D55" s="6">
        <v>1242000.0</v>
      </c>
      <c r="E55" s="6">
        <v>6453673.6975890715</v>
      </c>
      <c r="F55" s="6">
        <v>6771073.6975890715</v>
      </c>
      <c r="G55" s="6">
        <v>7101169.6975890715</v>
      </c>
      <c r="H55" s="6">
        <v>7444469.537589071</v>
      </c>
      <c r="I55" s="6">
        <v>7801501.371189072</v>
      </c>
      <c r="J55" s="6">
        <v>8172814.478133072</v>
      </c>
      <c r="K55" s="6">
        <v>8558980.109354831</v>
      </c>
      <c r="L55" s="6">
        <v>8960592.365825463</v>
      </c>
      <c r="M55" s="6">
        <v>9378269.112554919</v>
      </c>
      <c r="N55" s="6">
        <v>9812652.929153552</v>
      </c>
      <c r="O55" s="6">
        <v>1.174573840082706E7</v>
      </c>
      <c r="P55" s="6">
        <v>1.2215567936860144E7</v>
      </c>
      <c r="Q55" s="6">
        <v>1.2704190654334549E7</v>
      </c>
      <c r="R55" s="6">
        <v>1.321235828050793E7</v>
      </c>
      <c r="S55" s="6">
        <v>1.374085261172825E7</v>
      </c>
      <c r="T55" s="6">
        <v>1.4290486716197379E7</v>
      </c>
      <c r="U55" s="6">
        <v>1.4862106184845274E7</v>
      </c>
      <c r="V55" s="6">
        <v>1.5456590432239085E7</v>
      </c>
    </row>
    <row r="56">
      <c r="A56" s="1" t="s">
        <v>21</v>
      </c>
      <c r="B56" s="6">
        <v>0.0</v>
      </c>
      <c r="C56" s="6">
        <v>0.0</v>
      </c>
      <c r="D56" s="6">
        <v>1095020.8292005556</v>
      </c>
      <c r="E56" s="6">
        <v>5342667.909341891</v>
      </c>
      <c r="F56" s="6">
        <v>5263311.935286533</v>
      </c>
      <c r="G56" s="6">
        <v>5183007.679153567</v>
      </c>
      <c r="H56" s="6">
        <v>5101948.970469744</v>
      </c>
      <c r="I56" s="6">
        <v>5020314.617402065</v>
      </c>
      <c r="J56" s="6">
        <v>4938269.398469607</v>
      </c>
      <c r="K56" s="6">
        <v>4855964.991969779</v>
      </c>
      <c r="L56" s="6">
        <v>4773540.846961715</v>
      </c>
      <c r="M56" s="6">
        <v>4691124.999414094</v>
      </c>
      <c r="N56" s="6">
        <v>4608834.836903504</v>
      </c>
      <c r="O56" s="6">
        <v>5180067.548374657</v>
      </c>
      <c r="P56" s="6">
        <v>5058469.718600605</v>
      </c>
      <c r="Q56" s="6">
        <v>4939726.297976177</v>
      </c>
      <c r="R56" s="6">
        <v>4823770.28159176</v>
      </c>
      <c r="S56" s="6">
        <v>4710536.23742294</v>
      </c>
      <c r="T56" s="6">
        <v>4599960.269408317</v>
      </c>
      <c r="U56" s="6">
        <v>4491979.981394039</v>
      </c>
      <c r="V56" s="6">
        <v>4386534.441924695</v>
      </c>
    </row>
    <row r="57">
      <c r="A57" s="12" t="s">
        <v>12</v>
      </c>
      <c r="B57" s="13">
        <v>8.906505179126625E7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9">
      <c r="A59" s="11" t="s">
        <v>22</v>
      </c>
      <c r="B59" s="10">
        <v>0.0</v>
      </c>
      <c r="C59" s="10">
        <v>1700000.0</v>
      </c>
      <c r="D59" s="10">
        <v>9800000.0</v>
      </c>
      <c r="E59" s="10">
        <v>1.0143E7</v>
      </c>
      <c r="F59" s="10">
        <v>1.0498005E7</v>
      </c>
      <c r="G59" s="10">
        <v>1.0865435174999999E7</v>
      </c>
      <c r="H59" s="10">
        <v>1.1245725406124998E7</v>
      </c>
      <c r="I59" s="10">
        <v>1.1639325795339372E7</v>
      </c>
      <c r="J59" s="10">
        <v>1.204670219817625E7</v>
      </c>
      <c r="K59" s="10">
        <v>1.2468336775112418E7</v>
      </c>
      <c r="L59" s="10">
        <v>1.2904728562241351E7</v>
      </c>
      <c r="M59" s="10">
        <v>1.3356394061919797E7</v>
      </c>
      <c r="N59" s="10">
        <v>1.382386785408699E7</v>
      </c>
      <c r="O59" s="10">
        <v>1.4307703228980033E7</v>
      </c>
      <c r="P59" s="10">
        <v>1.4808472841994332E7</v>
      </c>
      <c r="Q59" s="10">
        <v>1.5326769391464133E7</v>
      </c>
      <c r="R59" s="10">
        <v>1.5863206320165377E7</v>
      </c>
      <c r="S59" s="10">
        <v>1.6418418541371165E7</v>
      </c>
      <c r="T59" s="10">
        <v>1.6993063190319154E7</v>
      </c>
      <c r="U59" s="10">
        <v>1.758782040198032E7</v>
      </c>
      <c r="V59" s="10">
        <v>1.8203394116049632E7</v>
      </c>
    </row>
    <row r="60">
      <c r="A60" s="1" t="s">
        <v>23</v>
      </c>
      <c r="B60" s="10"/>
      <c r="C60" s="10"/>
      <c r="D60" s="10">
        <v>-1440105.3926072193</v>
      </c>
      <c r="E60" s="10">
        <v>-1440105.3926072193</v>
      </c>
      <c r="F60" s="10">
        <v>-1440105.3926072193</v>
      </c>
      <c r="G60" s="10">
        <v>-1440105.3926072193</v>
      </c>
      <c r="H60" s="10">
        <v>-1440105.3926072193</v>
      </c>
      <c r="I60" s="10">
        <v>-1440105.3926072193</v>
      </c>
      <c r="J60" s="10">
        <v>-1440105.3926072193</v>
      </c>
      <c r="K60" s="10">
        <v>-1440105.3926072193</v>
      </c>
      <c r="L60" s="10">
        <v>-1440105.3926072193</v>
      </c>
      <c r="M60" s="10">
        <v>-1440105.3926072193</v>
      </c>
      <c r="N60" s="10"/>
      <c r="O60" s="10"/>
      <c r="P60" s="10"/>
      <c r="Q60" s="10"/>
      <c r="R60" s="10"/>
      <c r="S60" s="10"/>
      <c r="T60" s="10"/>
      <c r="U60" s="10"/>
      <c r="V60" s="10"/>
    </row>
    <row r="61">
      <c r="A61" s="1" t="s">
        <v>20</v>
      </c>
      <c r="B61" s="10">
        <v>0.0</v>
      </c>
      <c r="C61" s="10">
        <v>1700000.0</v>
      </c>
      <c r="D61" s="10">
        <v>8359894.6073927805</v>
      </c>
      <c r="E61" s="10">
        <v>8702894.60739278</v>
      </c>
      <c r="F61" s="10">
        <v>9057899.60739278</v>
      </c>
      <c r="G61" s="10">
        <v>9425329.78239278</v>
      </c>
      <c r="H61" s="10">
        <v>9805620.013517778</v>
      </c>
      <c r="I61" s="10">
        <v>1.0199220402732152E7</v>
      </c>
      <c r="J61" s="10">
        <v>1.060659680556903E7</v>
      </c>
      <c r="K61" s="10">
        <v>1.1028231382505199E7</v>
      </c>
      <c r="L61" s="10">
        <v>1.1464623169634132E7</v>
      </c>
      <c r="M61" s="10">
        <v>1.1916288669312578E7</v>
      </c>
      <c r="N61" s="10">
        <v>1.382386785408699E7</v>
      </c>
      <c r="O61" s="10">
        <v>1.4307703228980033E7</v>
      </c>
      <c r="P61" s="10">
        <v>1.4808472841994332E7</v>
      </c>
      <c r="Q61" s="10">
        <v>1.5326769391464133E7</v>
      </c>
      <c r="R61" s="10">
        <v>1.5863206320165377E7</v>
      </c>
      <c r="S61" s="10">
        <v>1.6418418541371165E7</v>
      </c>
      <c r="T61" s="10">
        <v>1.6993063190319154E7</v>
      </c>
      <c r="U61" s="10">
        <v>1.758782040198032E7</v>
      </c>
      <c r="V61" s="10">
        <v>1.8203394116049632E7</v>
      </c>
    </row>
    <row r="62">
      <c r="A62" s="1" t="s">
        <v>21</v>
      </c>
      <c r="B62" s="10">
        <v>0.0</v>
      </c>
      <c r="C62" s="10">
        <v>1596244.131455399</v>
      </c>
      <c r="D62" s="10">
        <v>7370578.683588161</v>
      </c>
      <c r="E62" s="10">
        <v>7204683.396787164</v>
      </c>
      <c r="F62" s="10">
        <v>7040914.519833504</v>
      </c>
      <c r="G62" s="10">
        <v>6879367.586058712</v>
      </c>
      <c r="H62" s="10">
        <v>6720125.951242228</v>
      </c>
      <c r="I62" s="10">
        <v>6563261.715627617</v>
      </c>
      <c r="J62" s="10">
        <v>6408836.584629274</v>
      </c>
      <c r="K62" s="10">
        <v>6256902.672113405</v>
      </c>
      <c r="L62" s="10">
        <v>6107503.24989599</v>
      </c>
      <c r="M62" s="10">
        <v>5960673.446874261</v>
      </c>
      <c r="N62" s="10">
        <v>6492833.71241812</v>
      </c>
      <c r="O62" s="10">
        <v>6309936.988124651</v>
      </c>
      <c r="P62" s="10">
        <v>6132192.284233816</v>
      </c>
      <c r="Q62" s="10">
        <v>5959454.473410328</v>
      </c>
      <c r="R62" s="10">
        <v>5791582.516412854</v>
      </c>
      <c r="S62" s="10">
        <v>5628439.346936436</v>
      </c>
      <c r="T62" s="10">
        <v>5469891.75969879</v>
      </c>
      <c r="U62" s="10">
        <v>5315810.3016791055</v>
      </c>
      <c r="V62" s="10">
        <v>5166069.166420539</v>
      </c>
    </row>
    <row r="63">
      <c r="A63" s="12" t="s">
        <v>12</v>
      </c>
      <c r="B63" s="14">
        <v>1.2037530248744036E8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</sheetData>
  <mergeCells count="4">
    <mergeCell ref="D1:F1"/>
    <mergeCell ref="I1:K1"/>
    <mergeCell ref="M1:O1"/>
    <mergeCell ref="D26: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</cols>
  <sheetData>
    <row r="1">
      <c r="A1" s="15"/>
      <c r="B1" s="16" t="s">
        <v>24</v>
      </c>
      <c r="C1" s="17">
        <v>22.0</v>
      </c>
      <c r="D1" s="15"/>
      <c r="E1" s="16" t="s">
        <v>25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 t="s">
        <v>26</v>
      </c>
      <c r="B2" s="19" t="s">
        <v>27</v>
      </c>
      <c r="C2" s="20">
        <v>-0.2</v>
      </c>
      <c r="D2" s="21">
        <f>C1*(1+C2)</f>
        <v>17.6</v>
      </c>
      <c r="E2" s="21">
        <f>D2/(1+0.15)</f>
        <v>15.30434783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 t="s">
        <v>28</v>
      </c>
      <c r="B3" s="19" t="s">
        <v>29</v>
      </c>
      <c r="C3" s="20">
        <v>-0.12</v>
      </c>
      <c r="D3" s="21">
        <f t="shared" ref="D3:D7" si="1">D2*(1+C3)</f>
        <v>15.488</v>
      </c>
      <c r="E3" s="21">
        <f>E2/(1+0.15)^2</f>
        <v>11.57228569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19" t="s">
        <v>30</v>
      </c>
      <c r="B4" s="19" t="s">
        <v>31</v>
      </c>
      <c r="C4" s="20">
        <v>-0.03</v>
      </c>
      <c r="D4" s="21">
        <f t="shared" si="1"/>
        <v>15.02336</v>
      </c>
      <c r="E4" s="21">
        <f>D4/(1.15)^3</f>
        <v>9.878103066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19" t="s">
        <v>32</v>
      </c>
      <c r="B5" s="19" t="s">
        <v>33</v>
      </c>
      <c r="C5" s="20">
        <v>0.15</v>
      </c>
      <c r="D5" s="21">
        <f t="shared" si="1"/>
        <v>17.276864</v>
      </c>
      <c r="E5" s="21">
        <f>D5/1.15^4</f>
        <v>9.878103066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19" t="s">
        <v>34</v>
      </c>
      <c r="B6" s="19" t="s">
        <v>35</v>
      </c>
      <c r="C6" s="20">
        <v>0.25</v>
      </c>
      <c r="D6" s="21">
        <f t="shared" si="1"/>
        <v>21.59608</v>
      </c>
      <c r="E6" s="21">
        <f>D6/1.15^5</f>
        <v>10.73706855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9" t="s">
        <v>36</v>
      </c>
      <c r="B7" s="19" t="s">
        <v>37</v>
      </c>
      <c r="C7" s="20">
        <v>0.1</v>
      </c>
      <c r="D7" s="21">
        <f t="shared" si="1"/>
        <v>23.755688</v>
      </c>
      <c r="E7" s="21">
        <f t="shared" ref="E7:E8" si="2">D7/1.15^6</f>
        <v>10.27023948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9"/>
      <c r="B8" s="19" t="s">
        <v>38</v>
      </c>
      <c r="C8" s="22">
        <v>0.055</v>
      </c>
      <c r="D8" s="21">
        <f>(D7*(1+C8))/(0.15-0.055)</f>
        <v>263.8131667</v>
      </c>
      <c r="E8" s="21">
        <f t="shared" si="2"/>
        <v>114.0537121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9"/>
      <c r="B9" s="19"/>
      <c r="C9" s="19"/>
      <c r="D9" s="23" t="s">
        <v>39</v>
      </c>
      <c r="E9" s="24">
        <f>SUM(E2:E8)</f>
        <v>181.6938598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40</v>
      </c>
      <c r="B1" s="25" t="s">
        <v>41</v>
      </c>
    </row>
    <row r="2">
      <c r="A2" s="26">
        <v>0.05</v>
      </c>
      <c r="B2" s="27">
        <v>1069238.18</v>
      </c>
    </row>
    <row r="3">
      <c r="A3" s="26">
        <v>0.08</v>
      </c>
      <c r="B3" s="27">
        <v>761968.65</v>
      </c>
    </row>
    <row r="4">
      <c r="A4" s="26">
        <v>0.15</v>
      </c>
      <c r="B4" s="27">
        <v>411589.03</v>
      </c>
    </row>
  </sheetData>
  <drawing r:id="rId1"/>
</worksheet>
</file>