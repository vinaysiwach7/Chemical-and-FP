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Vinay Siwach\Downloads\"/>
    </mc:Choice>
  </mc:AlternateContent>
  <xr:revisionPtr revIDLastSave="0" documentId="13_ncr:1_{A5DFCB86-99C1-4F58-98C2-3F65793DD1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1" sheetId="1" r:id="rId1"/>
    <sheet name="Q2" sheetId="2" r:id="rId2"/>
    <sheet name="Q5" sheetId="3" r:id="rId3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4" i="2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4" i="3"/>
  <c r="E2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4" i="3"/>
  <c r="L4" i="3"/>
  <c r="M25" i="3"/>
  <c r="H4" i="3"/>
  <c r="I25" i="3"/>
  <c r="D4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L24" i="3"/>
  <c r="H24" i="3"/>
  <c r="D24" i="3"/>
  <c r="L23" i="3"/>
  <c r="H23" i="3"/>
  <c r="D23" i="3"/>
  <c r="L22" i="3"/>
  <c r="H22" i="3"/>
  <c r="D22" i="3"/>
  <c r="L21" i="3"/>
  <c r="H21" i="3"/>
  <c r="D21" i="3"/>
  <c r="L20" i="3"/>
  <c r="H20" i="3"/>
  <c r="D20" i="3"/>
  <c r="L19" i="3"/>
  <c r="H19" i="3"/>
  <c r="D19" i="3"/>
  <c r="L18" i="3"/>
  <c r="H18" i="3"/>
  <c r="D18" i="3"/>
  <c r="L17" i="3"/>
  <c r="H17" i="3"/>
  <c r="D17" i="3"/>
  <c r="L16" i="3"/>
  <c r="H16" i="3"/>
  <c r="D16" i="3"/>
  <c r="L15" i="3"/>
  <c r="H15" i="3"/>
  <c r="D15" i="3"/>
  <c r="L14" i="3"/>
  <c r="H14" i="3"/>
  <c r="D14" i="3"/>
  <c r="L13" i="3"/>
  <c r="H13" i="3"/>
  <c r="D13" i="3"/>
  <c r="L12" i="3"/>
  <c r="H12" i="3"/>
  <c r="D12" i="3"/>
  <c r="L11" i="3"/>
  <c r="H11" i="3"/>
  <c r="D11" i="3"/>
  <c r="L10" i="3"/>
  <c r="H10" i="3"/>
  <c r="D10" i="3"/>
  <c r="L9" i="3"/>
  <c r="H9" i="3"/>
  <c r="D9" i="3"/>
  <c r="L8" i="3"/>
  <c r="H8" i="3"/>
  <c r="D8" i="3"/>
  <c r="L7" i="3"/>
  <c r="H7" i="3"/>
  <c r="D7" i="3"/>
  <c r="L6" i="3"/>
  <c r="H6" i="3"/>
  <c r="D6" i="3"/>
  <c r="L5" i="3"/>
  <c r="H5" i="3"/>
  <c r="D5" i="3"/>
  <c r="E4" i="2"/>
  <c r="F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C11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C71" i="1"/>
  <c r="D71" i="1"/>
  <c r="D73" i="1"/>
  <c r="D74" i="1"/>
  <c r="D75" i="1"/>
  <c r="H11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31" i="1"/>
  <c r="I31" i="1"/>
  <c r="I34" i="1"/>
  <c r="I35" i="1"/>
  <c r="I36" i="1"/>
</calcChain>
</file>

<file path=xl/sharedStrings.xml><?xml version="1.0" encoding="utf-8"?>
<sst xmlns="http://schemas.openxmlformats.org/spreadsheetml/2006/main" count="68" uniqueCount="45">
  <si>
    <t xml:space="preserve">Method  1 </t>
  </si>
  <si>
    <t>Method 2</t>
  </si>
  <si>
    <t>Initial Cost of Concrete</t>
  </si>
  <si>
    <t>Initial cost of Steel</t>
  </si>
  <si>
    <t>T (years)</t>
  </si>
  <si>
    <t>Annual Maintenance Cost</t>
  </si>
  <si>
    <t>Answer</t>
  </si>
  <si>
    <t>r</t>
  </si>
  <si>
    <t xml:space="preserve">Part a </t>
  </si>
  <si>
    <t>Since EAC(Method 2) &lt; EAC(Method 1)</t>
  </si>
  <si>
    <t>Method 2 is better</t>
  </si>
  <si>
    <t>Cost should be less</t>
  </si>
  <si>
    <t>Salvage Value</t>
  </si>
  <si>
    <t>Part b</t>
  </si>
  <si>
    <t>Since NPV(Method 2) &gt; NPV(Method 1)</t>
  </si>
  <si>
    <t>NPV should be more</t>
  </si>
  <si>
    <t>Years</t>
  </si>
  <si>
    <t>Cost</t>
  </si>
  <si>
    <t>Present Value</t>
  </si>
  <si>
    <t xml:space="preserve">Therefore steel building is Preferred alternative </t>
  </si>
  <si>
    <t>NPV</t>
  </si>
  <si>
    <t>PVIFA</t>
  </si>
  <si>
    <t>EAC</t>
  </si>
  <si>
    <t>Interest rate</t>
  </si>
  <si>
    <t>Year</t>
  </si>
  <si>
    <t>Initial Cost</t>
  </si>
  <si>
    <t>Annual Benefits</t>
  </si>
  <si>
    <t>Salvage value</t>
  </si>
  <si>
    <t>Total Value</t>
  </si>
  <si>
    <t>Present Worth</t>
  </si>
  <si>
    <t>Interest Rate</t>
  </si>
  <si>
    <t>Plan A(part a)</t>
  </si>
  <si>
    <t>Plan B</t>
  </si>
  <si>
    <t>Plan A(part b)</t>
  </si>
  <si>
    <t>Initial cost</t>
  </si>
  <si>
    <t>Cost of Dredging</t>
  </si>
  <si>
    <t>Total Cost</t>
  </si>
  <si>
    <t>PV of Total Cost</t>
  </si>
  <si>
    <t>NPV of costs</t>
  </si>
  <si>
    <t>part a</t>
  </si>
  <si>
    <t xml:space="preserve">Project A costs more than </t>
  </si>
  <si>
    <t>Project B</t>
  </si>
  <si>
    <t>part b</t>
  </si>
  <si>
    <t xml:space="preserve">Project B is more economic </t>
  </si>
  <si>
    <t>least NPV of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</si>
</sst>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3" fillId="4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0" fontId="1" fillId="0" borderId="0" xfId="0" applyNumberFormat="1" applyFont="1" applyAlignment="1">
      <alignment horizontal="right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right" wrapText="1"/>
    </xf>
    <xf numFmtId="0" fontId="4" fillId="0" borderId="0" xfId="0" applyFont="1"/>
    <xf numFmtId="0" fontId="2" fillId="0" borderId="0" xfId="0" applyFont="1"/>
    <xf numFmtId="0" fontId="4" fillId="6" borderId="0" xfId="0" applyFont="1" applyFill="1"/>
    <xf numFmtId="0" fontId="2" fillId="7" borderId="0" xfId="0" applyFont="1" applyFill="1"/>
    <xf numFmtId="0" fontId="2" fillId="6" borderId="0" xfId="0" applyFont="1" applyFill="1"/>
    <xf numFmtId="0" fontId="4" fillId="0" borderId="0" xfId="0" applyFont="1" applyAlignment="1">
      <alignment horizontal="center"/>
    </xf>
    <xf numFmtId="0" fontId="2" fillId="6" borderId="0" xfId="0" applyFont="1" applyFill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59" workbookViewId="0"/>
  </sheetViews>
  <sheetFormatPr defaultColWidth="12.6328125" defaultRowHeight="15.75" customHeight="1" x14ac:dyDescent="0.25"/>
  <cols>
    <col min="1" max="1" width="20.6328125" customWidth="1"/>
    <col min="2" max="2" width="25.6328125" customWidth="1"/>
    <col min="3" max="3" width="18" customWidth="1"/>
    <col min="6" max="6" width="23.7265625" customWidth="1"/>
    <col min="12" max="12" width="32" customWidth="1"/>
    <col min="14" max="14" width="18.6328125" customWidth="1"/>
  </cols>
  <sheetData>
    <row r="1" spans="1:26" ht="15" customHeight="1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3"/>
    </row>
    <row r="2" spans="1:26" ht="15" customHeight="1" x14ac:dyDescent="0.25">
      <c r="A2" s="4" t="s">
        <v>0</v>
      </c>
      <c r="B2" s="1"/>
      <c r="C2" s="1"/>
      <c r="D2" s="1"/>
      <c r="E2" s="2"/>
      <c r="F2" s="4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</row>
    <row r="3" spans="1:26" ht="15" customHeight="1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3"/>
    </row>
    <row r="4" spans="1:26" ht="15" customHeight="1" x14ac:dyDescent="0.25">
      <c r="A4" s="1" t="s">
        <v>2</v>
      </c>
      <c r="B4" s="5">
        <v>2700000</v>
      </c>
      <c r="C4" s="1"/>
      <c r="D4" s="1"/>
      <c r="E4" s="2"/>
      <c r="F4" s="1" t="s">
        <v>3</v>
      </c>
      <c r="G4" s="5">
        <v>1800000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3"/>
    </row>
    <row r="5" spans="1:26" ht="15" customHeight="1" x14ac:dyDescent="0.25">
      <c r="A5" s="1" t="s">
        <v>4</v>
      </c>
      <c r="B5" s="5">
        <v>60</v>
      </c>
      <c r="C5" s="1"/>
      <c r="D5" s="1"/>
      <c r="E5" s="2"/>
      <c r="F5" s="1" t="s">
        <v>4</v>
      </c>
      <c r="G5" s="5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</row>
    <row r="6" spans="1:26" ht="15" customHeight="1" x14ac:dyDescent="0.3">
      <c r="A6" s="1" t="s">
        <v>5</v>
      </c>
      <c r="B6" s="5">
        <v>35000</v>
      </c>
      <c r="C6" s="1"/>
      <c r="D6" s="1"/>
      <c r="E6" s="2"/>
      <c r="F6" s="1" t="s">
        <v>5</v>
      </c>
      <c r="G6" s="5">
        <v>40000</v>
      </c>
      <c r="H6" s="1"/>
      <c r="I6" s="1"/>
      <c r="J6" s="1"/>
      <c r="K6" s="6" t="s">
        <v>6</v>
      </c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3"/>
    </row>
    <row r="7" spans="1:26" ht="15" customHeight="1" x14ac:dyDescent="0.3">
      <c r="A7" s="1" t="s">
        <v>7</v>
      </c>
      <c r="B7" s="8">
        <v>9.6500000000000002E-2</v>
      </c>
      <c r="C7" s="1"/>
      <c r="D7" s="1"/>
      <c r="E7" s="2"/>
      <c r="F7" s="1" t="s">
        <v>7</v>
      </c>
      <c r="G7" s="8">
        <v>9.6500000000000002E-2</v>
      </c>
      <c r="H7" s="1"/>
      <c r="I7" s="1"/>
      <c r="J7" s="1"/>
      <c r="K7" s="6" t="s">
        <v>8</v>
      </c>
      <c r="L7" s="6" t="s">
        <v>9</v>
      </c>
      <c r="M7" s="6" t="s">
        <v>10</v>
      </c>
      <c r="N7" s="6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3"/>
    </row>
    <row r="8" spans="1:26" ht="15" customHeight="1" x14ac:dyDescent="0.3">
      <c r="A8" s="1" t="s">
        <v>12</v>
      </c>
      <c r="B8" s="5">
        <v>80000</v>
      </c>
      <c r="C8" s="1"/>
      <c r="D8" s="1"/>
      <c r="E8" s="2"/>
      <c r="F8" s="1" t="s">
        <v>12</v>
      </c>
      <c r="G8" s="5">
        <v>27000</v>
      </c>
      <c r="H8" s="1"/>
      <c r="I8" s="1"/>
      <c r="J8" s="1"/>
      <c r="K8" s="6" t="s">
        <v>13</v>
      </c>
      <c r="L8" s="6" t="s">
        <v>14</v>
      </c>
      <c r="M8" s="6" t="s">
        <v>10</v>
      </c>
      <c r="N8" s="6" t="s">
        <v>15</v>
      </c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3"/>
    </row>
    <row r="9" spans="1:26" ht="15" customHeight="1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7"/>
      <c r="L9" s="7"/>
      <c r="M9" s="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3"/>
    </row>
    <row r="10" spans="1:26" ht="15" customHeight="1" x14ac:dyDescent="0.3">
      <c r="A10" s="1"/>
      <c r="B10" s="1" t="s">
        <v>16</v>
      </c>
      <c r="C10" s="1" t="s">
        <v>17</v>
      </c>
      <c r="D10" s="1" t="s">
        <v>18</v>
      </c>
      <c r="E10" s="2"/>
      <c r="F10" s="1"/>
      <c r="G10" s="1" t="s">
        <v>16</v>
      </c>
      <c r="H10" s="1" t="s">
        <v>17</v>
      </c>
      <c r="I10" s="1" t="s">
        <v>18</v>
      </c>
      <c r="J10" s="1"/>
      <c r="K10" s="7"/>
      <c r="L10" s="6" t="s">
        <v>19</v>
      </c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3"/>
    </row>
    <row r="11" spans="1:26" ht="12.5" x14ac:dyDescent="0.25">
      <c r="A11" s="1"/>
      <c r="B11" s="5">
        <v>0</v>
      </c>
      <c r="C11" s="5">
        <f>-B4</f>
        <v>-2700000</v>
      </c>
      <c r="D11" s="5">
        <f t="shared" ref="D11:D71" si="0">C11/(1+$B$7)^B11</f>
        <v>-2700000</v>
      </c>
      <c r="E11" s="2"/>
      <c r="F11" s="1"/>
      <c r="G11" s="5">
        <v>0</v>
      </c>
      <c r="H11" s="5">
        <f>-G4</f>
        <v>-1800000</v>
      </c>
      <c r="I11" s="5">
        <f t="shared" ref="I11:I31" si="1">H11/(1+$G$7)^G11</f>
        <v>-1800000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3"/>
    </row>
    <row r="12" spans="1:26" ht="12.5" x14ac:dyDescent="0.25">
      <c r="A12" s="1"/>
      <c r="B12" s="5">
        <v>1</v>
      </c>
      <c r="C12" s="5">
        <v>0</v>
      </c>
      <c r="D12" s="5">
        <f t="shared" si="0"/>
        <v>0</v>
      </c>
      <c r="E12" s="2"/>
      <c r="F12" s="1"/>
      <c r="G12" s="5">
        <v>1</v>
      </c>
      <c r="H12" s="5">
        <v>-40000</v>
      </c>
      <c r="I12" s="5">
        <f t="shared" si="1"/>
        <v>-36479.708162334704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</row>
    <row r="13" spans="1:26" ht="12.5" x14ac:dyDescent="0.25">
      <c r="A13" s="1"/>
      <c r="B13" s="5">
        <v>2</v>
      </c>
      <c r="C13" s="5">
        <v>0</v>
      </c>
      <c r="D13" s="5">
        <f t="shared" si="0"/>
        <v>0</v>
      </c>
      <c r="E13" s="2"/>
      <c r="F13" s="1"/>
      <c r="G13" s="5">
        <v>2</v>
      </c>
      <c r="H13" s="5">
        <v>-40000</v>
      </c>
      <c r="I13" s="5">
        <f t="shared" si="1"/>
        <v>-33269.227690227723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</row>
    <row r="14" spans="1:26" ht="12.5" x14ac:dyDescent="0.25">
      <c r="A14" s="1"/>
      <c r="B14" s="5">
        <v>3</v>
      </c>
      <c r="C14" s="5">
        <v>0</v>
      </c>
      <c r="D14" s="5">
        <f t="shared" si="0"/>
        <v>0</v>
      </c>
      <c r="E14" s="2"/>
      <c r="F14" s="1"/>
      <c r="G14" s="5">
        <v>3</v>
      </c>
      <c r="H14" s="5">
        <v>-40000</v>
      </c>
      <c r="I14" s="5">
        <f t="shared" si="1"/>
        <v>-30341.292923144298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</row>
    <row r="15" spans="1:26" ht="12.5" x14ac:dyDescent="0.25">
      <c r="A15" s="1"/>
      <c r="B15" s="5">
        <v>4</v>
      </c>
      <c r="C15" s="5">
        <v>0</v>
      </c>
      <c r="D15" s="5">
        <f t="shared" si="0"/>
        <v>0</v>
      </c>
      <c r="E15" s="2"/>
      <c r="F15" s="1"/>
      <c r="G15" s="5">
        <v>4</v>
      </c>
      <c r="H15" s="5">
        <v>-40000</v>
      </c>
      <c r="I15" s="5">
        <f t="shared" si="1"/>
        <v>-27671.037777605379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</row>
    <row r="16" spans="1:26" ht="12.5" x14ac:dyDescent="0.25">
      <c r="A16" s="1"/>
      <c r="B16" s="5">
        <v>5</v>
      </c>
      <c r="C16" s="5">
        <v>0</v>
      </c>
      <c r="D16" s="5">
        <f t="shared" si="0"/>
        <v>0</v>
      </c>
      <c r="E16" s="2"/>
      <c r="F16" s="1"/>
      <c r="G16" s="5">
        <v>5</v>
      </c>
      <c r="H16" s="5">
        <v>-40000</v>
      </c>
      <c r="I16" s="5">
        <f t="shared" si="1"/>
        <v>-25235.784566899569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</row>
    <row r="17" spans="1:26" ht="12.5" x14ac:dyDescent="0.25">
      <c r="A17" s="1"/>
      <c r="B17" s="5">
        <v>6</v>
      </c>
      <c r="C17" s="5">
        <v>0</v>
      </c>
      <c r="D17" s="5">
        <f t="shared" si="0"/>
        <v>0</v>
      </c>
      <c r="E17" s="2"/>
      <c r="F17" s="1"/>
      <c r="G17" s="5">
        <v>6</v>
      </c>
      <c r="H17" s="5">
        <v>-40000</v>
      </c>
      <c r="I17" s="5">
        <f t="shared" si="1"/>
        <v>-23014.851406201156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</row>
    <row r="18" spans="1:26" ht="12.5" x14ac:dyDescent="0.25">
      <c r="A18" s="1"/>
      <c r="B18" s="5">
        <v>7</v>
      </c>
      <c r="C18" s="5">
        <v>0</v>
      </c>
      <c r="D18" s="5">
        <f t="shared" si="0"/>
        <v>0</v>
      </c>
      <c r="E18" s="2"/>
      <c r="F18" s="1"/>
      <c r="G18" s="5">
        <v>7</v>
      </c>
      <c r="H18" s="5">
        <v>-40000</v>
      </c>
      <c r="I18" s="5">
        <f t="shared" si="1"/>
        <v>-20989.376567442912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</row>
    <row r="19" spans="1:26" ht="12.5" x14ac:dyDescent="0.25">
      <c r="A19" s="1"/>
      <c r="B19" s="5">
        <v>8</v>
      </c>
      <c r="C19" s="5">
        <v>0</v>
      </c>
      <c r="D19" s="5">
        <f t="shared" si="0"/>
        <v>0</v>
      </c>
      <c r="E19" s="2"/>
      <c r="F19" s="1"/>
      <c r="G19" s="5">
        <v>8</v>
      </c>
      <c r="H19" s="5">
        <v>-40000</v>
      </c>
      <c r="I19" s="5">
        <f t="shared" si="1"/>
        <v>-19142.158292241602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</row>
    <row r="20" spans="1:26" ht="12.5" x14ac:dyDescent="0.25">
      <c r="A20" s="1"/>
      <c r="B20" s="5">
        <v>9</v>
      </c>
      <c r="C20" s="5">
        <v>0</v>
      </c>
      <c r="D20" s="5">
        <f t="shared" si="0"/>
        <v>0</v>
      </c>
      <c r="E20" s="2"/>
      <c r="F20" s="1"/>
      <c r="G20" s="5">
        <v>9</v>
      </c>
      <c r="H20" s="5">
        <v>-40000</v>
      </c>
      <c r="I20" s="5">
        <f t="shared" si="1"/>
        <v>-17457.508702454721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</row>
    <row r="21" spans="1:26" ht="12.5" x14ac:dyDescent="0.25">
      <c r="A21" s="1"/>
      <c r="B21" s="5">
        <v>10</v>
      </c>
      <c r="C21" s="5">
        <v>0</v>
      </c>
      <c r="D21" s="5">
        <f t="shared" si="0"/>
        <v>0</v>
      </c>
      <c r="E21" s="2"/>
      <c r="F21" s="1"/>
      <c r="G21" s="5">
        <v>10</v>
      </c>
      <c r="H21" s="5">
        <v>-40000</v>
      </c>
      <c r="I21" s="5">
        <f t="shared" si="1"/>
        <v>-15921.120567674165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</row>
    <row r="22" spans="1:26" ht="12.5" x14ac:dyDescent="0.25">
      <c r="A22" s="1"/>
      <c r="B22" s="5">
        <v>11</v>
      </c>
      <c r="C22" s="5">
        <v>-35000</v>
      </c>
      <c r="D22" s="5">
        <f t="shared" si="0"/>
        <v>-12704.952573383396</v>
      </c>
      <c r="E22" s="2"/>
      <c r="F22" s="1"/>
      <c r="G22" s="5">
        <v>11</v>
      </c>
      <c r="H22" s="5">
        <v>-40000</v>
      </c>
      <c r="I22" s="5">
        <f t="shared" si="1"/>
        <v>-14519.945798152452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</row>
    <row r="23" spans="1:26" ht="12.5" x14ac:dyDescent="0.25">
      <c r="A23" s="1"/>
      <c r="B23" s="5">
        <v>12</v>
      </c>
      <c r="C23" s="5">
        <v>-35000</v>
      </c>
      <c r="D23" s="5">
        <f t="shared" si="0"/>
        <v>-11586.824052333237</v>
      </c>
      <c r="E23" s="2"/>
      <c r="F23" s="1"/>
      <c r="G23" s="5">
        <v>12</v>
      </c>
      <c r="H23" s="5">
        <v>-40000</v>
      </c>
      <c r="I23" s="5">
        <f t="shared" si="1"/>
        <v>-13242.084631237985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</row>
    <row r="24" spans="1:26" ht="12.5" x14ac:dyDescent="0.25">
      <c r="A24" s="1"/>
      <c r="B24" s="5">
        <v>13</v>
      </c>
      <c r="C24" s="5">
        <v>-35000</v>
      </c>
      <c r="D24" s="5">
        <f t="shared" si="0"/>
        <v>-10567.09899893592</v>
      </c>
      <c r="E24" s="2"/>
      <c r="F24" s="1"/>
      <c r="G24" s="5">
        <v>13</v>
      </c>
      <c r="H24" s="5">
        <v>-40000</v>
      </c>
      <c r="I24" s="5">
        <f t="shared" si="1"/>
        <v>-12076.684570212481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3"/>
    </row>
    <row r="25" spans="1:26" ht="12.5" x14ac:dyDescent="0.25">
      <c r="A25" s="1"/>
      <c r="B25" s="5">
        <v>14</v>
      </c>
      <c r="C25" s="5">
        <v>-35000</v>
      </c>
      <c r="D25" s="5">
        <f t="shared" si="0"/>
        <v>-9637.1171900920381</v>
      </c>
      <c r="E25" s="2"/>
      <c r="F25" s="1"/>
      <c r="G25" s="5">
        <v>14</v>
      </c>
      <c r="H25" s="5">
        <v>-40000</v>
      </c>
      <c r="I25" s="5">
        <f t="shared" si="1"/>
        <v>-11013.848217248044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3"/>
    </row>
    <row r="26" spans="1:26" ht="12.5" x14ac:dyDescent="0.25">
      <c r="A26" s="1"/>
      <c r="B26" s="5">
        <v>15</v>
      </c>
      <c r="C26" s="5">
        <v>-35000</v>
      </c>
      <c r="D26" s="5">
        <f t="shared" si="0"/>
        <v>-8788.9805655194141</v>
      </c>
      <c r="E26" s="2"/>
      <c r="F26" s="1"/>
      <c r="G26" s="5">
        <v>15</v>
      </c>
      <c r="H26" s="5">
        <v>-40000</v>
      </c>
      <c r="I26" s="5">
        <f t="shared" si="1"/>
        <v>-10044.549217736474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3"/>
    </row>
    <row r="27" spans="1:26" ht="12.5" x14ac:dyDescent="0.25">
      <c r="A27" s="1"/>
      <c r="B27" s="5">
        <v>16</v>
      </c>
      <c r="C27" s="5">
        <v>-35000</v>
      </c>
      <c r="D27" s="5">
        <f t="shared" si="0"/>
        <v>-8015.4861518644921</v>
      </c>
      <c r="E27" s="2"/>
      <c r="F27" s="1"/>
      <c r="G27" s="5">
        <v>16</v>
      </c>
      <c r="H27" s="5">
        <v>-40000</v>
      </c>
      <c r="I27" s="5">
        <f t="shared" si="1"/>
        <v>-9160.5556021308475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3"/>
    </row>
    <row r="28" spans="1:26" ht="12.5" x14ac:dyDescent="0.25">
      <c r="A28" s="1"/>
      <c r="B28" s="5">
        <v>17</v>
      </c>
      <c r="C28" s="5">
        <v>-35000</v>
      </c>
      <c r="D28" s="5">
        <f t="shared" si="0"/>
        <v>-7310.0648899812959</v>
      </c>
      <c r="E28" s="2"/>
      <c r="F28" s="1"/>
      <c r="G28" s="5">
        <v>17</v>
      </c>
      <c r="H28" s="5">
        <v>-40000</v>
      </c>
      <c r="I28" s="5">
        <f t="shared" si="1"/>
        <v>-8354.3598742643389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/>
      <c r="Z28" s="3"/>
    </row>
    <row r="29" spans="1:26" ht="12.5" x14ac:dyDescent="0.25">
      <c r="A29" s="1"/>
      <c r="B29" s="5">
        <v>18</v>
      </c>
      <c r="C29" s="5">
        <v>-35000</v>
      </c>
      <c r="D29" s="5">
        <f t="shared" si="0"/>
        <v>-6666.7258458561755</v>
      </c>
      <c r="E29" s="2"/>
      <c r="F29" s="1"/>
      <c r="G29" s="5">
        <v>18</v>
      </c>
      <c r="H29" s="5">
        <v>-40000</v>
      </c>
      <c r="I29" s="5">
        <f t="shared" si="1"/>
        <v>-7619.1152524070576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/>
      <c r="Z29" s="3"/>
    </row>
    <row r="30" spans="1:26" ht="12.5" x14ac:dyDescent="0.25">
      <c r="A30" s="1"/>
      <c r="B30" s="5">
        <v>19</v>
      </c>
      <c r="C30" s="5">
        <v>-35000</v>
      </c>
      <c r="D30" s="5">
        <f t="shared" si="0"/>
        <v>-6080.0053313781809</v>
      </c>
      <c r="E30" s="2"/>
      <c r="F30" s="1"/>
      <c r="G30" s="5">
        <v>19</v>
      </c>
      <c r="H30" s="5">
        <v>-40000</v>
      </c>
      <c r="I30" s="5">
        <f t="shared" si="1"/>
        <v>-6948.5775215750637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3"/>
    </row>
    <row r="31" spans="1:26" ht="12.5" x14ac:dyDescent="0.25">
      <c r="A31" s="1"/>
      <c r="B31" s="5">
        <v>20</v>
      </c>
      <c r="C31" s="5">
        <v>-35000</v>
      </c>
      <c r="D31" s="5">
        <f t="shared" si="0"/>
        <v>-5544.9205028528786</v>
      </c>
      <c r="E31" s="2"/>
      <c r="F31" s="1"/>
      <c r="G31" s="5">
        <v>20</v>
      </c>
      <c r="H31" s="5">
        <f>-40000+G8</f>
        <v>-13000</v>
      </c>
      <c r="I31" s="5">
        <f t="shared" si="1"/>
        <v>-2059.5419010596406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/>
      <c r="Z31" s="3"/>
    </row>
    <row r="32" spans="1:26" ht="12.5" x14ac:dyDescent="0.25">
      <c r="A32" s="1"/>
      <c r="B32" s="5">
        <v>21</v>
      </c>
      <c r="C32" s="5">
        <v>-35000</v>
      </c>
      <c r="D32" s="5">
        <f t="shared" si="0"/>
        <v>-5056.9270431854793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3"/>
    </row>
    <row r="33" spans="1:26" ht="12.5" x14ac:dyDescent="0.25">
      <c r="A33" s="1"/>
      <c r="B33" s="5">
        <v>22</v>
      </c>
      <c r="C33" s="5">
        <v>-35000</v>
      </c>
      <c r="D33" s="5">
        <f t="shared" si="0"/>
        <v>-4611.8805683406099</v>
      </c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3"/>
    </row>
    <row r="34" spans="1:26" ht="12.5" x14ac:dyDescent="0.25">
      <c r="A34" s="1"/>
      <c r="B34" s="5">
        <v>23</v>
      </c>
      <c r="C34" s="5">
        <v>-35000</v>
      </c>
      <c r="D34" s="5">
        <f t="shared" si="0"/>
        <v>-4206.0014303151938</v>
      </c>
      <c r="E34" s="2"/>
      <c r="F34" s="1"/>
      <c r="G34" s="1"/>
      <c r="H34" s="9" t="s">
        <v>20</v>
      </c>
      <c r="I34" s="10">
        <f>SUM(I11:I31)</f>
        <v>-2144561.3292422504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3"/>
    </row>
    <row r="35" spans="1:26" ht="12.5" x14ac:dyDescent="0.25">
      <c r="A35" s="1"/>
      <c r="B35" s="5">
        <v>24</v>
      </c>
      <c r="C35" s="5">
        <v>-35000</v>
      </c>
      <c r="D35" s="5">
        <f t="shared" si="0"/>
        <v>-3835.8426177065153</v>
      </c>
      <c r="E35" s="2"/>
      <c r="F35" s="1"/>
      <c r="G35" s="1"/>
      <c r="H35" s="9" t="s">
        <v>21</v>
      </c>
      <c r="I35" s="10">
        <f>(1-1/(1+G7)^G5)/G7</f>
        <v>8.7209709836112861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3"/>
    </row>
    <row r="36" spans="1:26" ht="12.5" x14ac:dyDescent="0.25">
      <c r="A36" s="1"/>
      <c r="B36" s="5">
        <v>25</v>
      </c>
      <c r="C36" s="5">
        <v>-35000</v>
      </c>
      <c r="D36" s="5">
        <f t="shared" si="0"/>
        <v>-3498.2604812644913</v>
      </c>
      <c r="E36" s="2"/>
      <c r="F36" s="1"/>
      <c r="G36" s="1"/>
      <c r="H36" s="9" t="s">
        <v>22</v>
      </c>
      <c r="I36" s="10">
        <f>I34/I35</f>
        <v>-245908.55000806393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3"/>
    </row>
    <row r="37" spans="1:26" ht="12.5" x14ac:dyDescent="0.25">
      <c r="A37" s="1"/>
      <c r="B37" s="5">
        <v>26</v>
      </c>
      <c r="C37" s="5">
        <v>-35000</v>
      </c>
      <c r="D37" s="5">
        <f t="shared" si="0"/>
        <v>-3190.38803580893</v>
      </c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3"/>
    </row>
    <row r="38" spans="1:26" ht="12.5" x14ac:dyDescent="0.25">
      <c r="A38" s="1"/>
      <c r="B38" s="5">
        <v>27</v>
      </c>
      <c r="C38" s="5">
        <v>-35000</v>
      </c>
      <c r="D38" s="5">
        <f t="shared" si="0"/>
        <v>-2909.61061177285</v>
      </c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3"/>
    </row>
    <row r="39" spans="1:26" ht="12.5" x14ac:dyDescent="0.25">
      <c r="A39" s="1"/>
      <c r="B39" s="5">
        <v>28</v>
      </c>
      <c r="C39" s="5">
        <v>-35000</v>
      </c>
      <c r="D39" s="5">
        <f t="shared" si="0"/>
        <v>-2653.5436495876424</v>
      </c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3"/>
    </row>
    <row r="40" spans="1:26" ht="12.5" x14ac:dyDescent="0.25">
      <c r="A40" s="1"/>
      <c r="B40" s="5">
        <v>29</v>
      </c>
      <c r="C40" s="5">
        <v>-35000</v>
      </c>
      <c r="D40" s="5">
        <f t="shared" si="0"/>
        <v>-2420.012448324343</v>
      </c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3"/>
    </row>
    <row r="41" spans="1:26" ht="12.5" x14ac:dyDescent="0.25">
      <c r="A41" s="1"/>
      <c r="B41" s="5">
        <v>30</v>
      </c>
      <c r="C41" s="5">
        <v>-35000</v>
      </c>
      <c r="D41" s="5">
        <f t="shared" si="0"/>
        <v>-2207.0336966022282</v>
      </c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3"/>
    </row>
    <row r="42" spans="1:26" ht="12.5" x14ac:dyDescent="0.25">
      <c r="A42" s="1"/>
      <c r="B42" s="5">
        <v>31</v>
      </c>
      <c r="C42" s="5">
        <v>-35000</v>
      </c>
      <c r="D42" s="5">
        <f t="shared" si="0"/>
        <v>-2012.7986289122002</v>
      </c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3"/>
    </row>
    <row r="43" spans="1:26" ht="12.5" x14ac:dyDescent="0.25">
      <c r="A43" s="1"/>
      <c r="B43" s="5">
        <v>32</v>
      </c>
      <c r="C43" s="5">
        <v>-35000</v>
      </c>
      <c r="D43" s="5">
        <f t="shared" si="0"/>
        <v>-1835.6576643066126</v>
      </c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3"/>
    </row>
    <row r="44" spans="1:26" ht="12.5" x14ac:dyDescent="0.25">
      <c r="A44" s="1"/>
      <c r="B44" s="5">
        <v>33</v>
      </c>
      <c r="C44" s="5">
        <v>-35000</v>
      </c>
      <c r="D44" s="5">
        <f t="shared" si="0"/>
        <v>-1674.1063969964546</v>
      </c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3"/>
    </row>
    <row r="45" spans="1:26" ht="12.5" x14ac:dyDescent="0.25">
      <c r="A45" s="1"/>
      <c r="B45" s="5">
        <v>34</v>
      </c>
      <c r="C45" s="5">
        <v>-35000</v>
      </c>
      <c r="D45" s="5">
        <f t="shared" si="0"/>
        <v>-1526.7728198782074</v>
      </c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3"/>
    </row>
    <row r="46" spans="1:26" ht="12.5" x14ac:dyDescent="0.25">
      <c r="A46" s="1"/>
      <c r="B46" s="5">
        <v>35</v>
      </c>
      <c r="C46" s="5">
        <v>-35000</v>
      </c>
      <c r="D46" s="5">
        <f t="shared" si="0"/>
        <v>-1392.4056724835455</v>
      </c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3"/>
    </row>
    <row r="47" spans="1:26" ht="12.5" x14ac:dyDescent="0.25">
      <c r="A47" s="1"/>
      <c r="B47" s="5">
        <v>36</v>
      </c>
      <c r="C47" s="5">
        <v>-35000</v>
      </c>
      <c r="D47" s="5">
        <f t="shared" si="0"/>
        <v>-1269.8638143944781</v>
      </c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3"/>
    </row>
    <row r="48" spans="1:26" ht="12.5" x14ac:dyDescent="0.25">
      <c r="A48" s="1"/>
      <c r="B48" s="5">
        <v>37</v>
      </c>
      <c r="C48" s="5">
        <v>-35000</v>
      </c>
      <c r="D48" s="5">
        <f t="shared" si="0"/>
        <v>-1158.1065338754929</v>
      </c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3"/>
    </row>
    <row r="49" spans="1:26" ht="12.5" x14ac:dyDescent="0.25">
      <c r="A49" s="1"/>
      <c r="B49" s="5">
        <v>38</v>
      </c>
      <c r="C49" s="5">
        <v>-35000</v>
      </c>
      <c r="D49" s="5">
        <f t="shared" si="0"/>
        <v>-1056.1847094167742</v>
      </c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3"/>
    </row>
    <row r="50" spans="1:26" ht="12.5" x14ac:dyDescent="0.25">
      <c r="A50" s="1"/>
      <c r="B50" s="5">
        <v>39</v>
      </c>
      <c r="C50" s="5">
        <v>-35000</v>
      </c>
      <c r="D50" s="5">
        <f t="shared" si="0"/>
        <v>-963.2327491261052</v>
      </c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3"/>
    </row>
    <row r="51" spans="1:26" ht="12.5" x14ac:dyDescent="0.25">
      <c r="A51" s="1"/>
      <c r="B51" s="5">
        <v>40</v>
      </c>
      <c r="C51" s="5">
        <v>-35000</v>
      </c>
      <c r="D51" s="5">
        <f t="shared" si="0"/>
        <v>-878.46123951309187</v>
      </c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3"/>
    </row>
    <row r="52" spans="1:26" ht="12.5" x14ac:dyDescent="0.25">
      <c r="A52" s="1"/>
      <c r="B52" s="5">
        <v>41</v>
      </c>
      <c r="C52" s="5">
        <v>-35000</v>
      </c>
      <c r="D52" s="5">
        <f t="shared" si="0"/>
        <v>-801.15024123400985</v>
      </c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3"/>
    </row>
    <row r="53" spans="1:26" ht="12.5" x14ac:dyDescent="0.25">
      <c r="A53" s="1"/>
      <c r="B53" s="5">
        <v>42</v>
      </c>
      <c r="C53" s="5">
        <v>-35000</v>
      </c>
      <c r="D53" s="5">
        <f t="shared" si="0"/>
        <v>-730.64317486001812</v>
      </c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</row>
    <row r="54" spans="1:26" ht="12.5" x14ac:dyDescent="0.25">
      <c r="A54" s="1"/>
      <c r="B54" s="5">
        <v>43</v>
      </c>
      <c r="C54" s="5">
        <v>-35000</v>
      </c>
      <c r="D54" s="5">
        <f t="shared" si="0"/>
        <v>-666.34124474237854</v>
      </c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3"/>
    </row>
    <row r="55" spans="1:26" ht="12.5" x14ac:dyDescent="0.25">
      <c r="A55" s="1"/>
      <c r="B55" s="5">
        <v>44</v>
      </c>
      <c r="C55" s="5">
        <v>-35000</v>
      </c>
      <c r="D55" s="5">
        <f t="shared" si="0"/>
        <v>-607.69835361822027</v>
      </c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3"/>
    </row>
    <row r="56" spans="1:26" ht="12.5" x14ac:dyDescent="0.25">
      <c r="A56" s="1"/>
      <c r="B56" s="5">
        <v>45</v>
      </c>
      <c r="C56" s="5">
        <v>-35000</v>
      </c>
      <c r="D56" s="5">
        <f t="shared" si="0"/>
        <v>-554.21646476809872</v>
      </c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3"/>
    </row>
    <row r="57" spans="1:26" ht="12.5" x14ac:dyDescent="0.25">
      <c r="A57" s="1"/>
      <c r="B57" s="5">
        <v>46</v>
      </c>
      <c r="C57" s="5">
        <v>-35000</v>
      </c>
      <c r="D57" s="5">
        <f t="shared" si="0"/>
        <v>-505.44137233752735</v>
      </c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3"/>
    </row>
    <row r="58" spans="1:26" ht="12.5" x14ac:dyDescent="0.25">
      <c r="A58" s="1"/>
      <c r="B58" s="5">
        <v>47</v>
      </c>
      <c r="C58" s="5">
        <v>-35000</v>
      </c>
      <c r="D58" s="5">
        <f t="shared" si="0"/>
        <v>-460.95884390107364</v>
      </c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3"/>
    </row>
    <row r="59" spans="1:26" ht="12.5" x14ac:dyDescent="0.25">
      <c r="A59" s="1"/>
      <c r="B59" s="5">
        <v>48</v>
      </c>
      <c r="C59" s="5">
        <v>-35000</v>
      </c>
      <c r="D59" s="5">
        <f t="shared" si="0"/>
        <v>-420.39110250895919</v>
      </c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3"/>
    </row>
    <row r="60" spans="1:26" ht="12.5" x14ac:dyDescent="0.25">
      <c r="A60" s="1"/>
      <c r="B60" s="5">
        <v>49</v>
      </c>
      <c r="C60" s="5">
        <v>-35000</v>
      </c>
      <c r="D60" s="5">
        <f t="shared" si="0"/>
        <v>-383.39361833922402</v>
      </c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3"/>
    </row>
    <row r="61" spans="1:26" ht="12.5" x14ac:dyDescent="0.25">
      <c r="A61" s="1"/>
      <c r="B61" s="5">
        <v>50</v>
      </c>
      <c r="C61" s="5">
        <v>-35000</v>
      </c>
      <c r="D61" s="5">
        <f t="shared" si="0"/>
        <v>-349.65218270791064</v>
      </c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3"/>
    </row>
    <row r="62" spans="1:26" ht="12.5" x14ac:dyDescent="0.25">
      <c r="A62" s="1"/>
      <c r="B62" s="5">
        <v>51</v>
      </c>
      <c r="C62" s="5">
        <v>-35000</v>
      </c>
      <c r="D62" s="5">
        <f t="shared" si="0"/>
        <v>-318.88023958769782</v>
      </c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3"/>
    </row>
    <row r="63" spans="1:26" ht="12.5" x14ac:dyDescent="0.25">
      <c r="A63" s="1"/>
      <c r="B63" s="5">
        <v>52</v>
      </c>
      <c r="C63" s="5">
        <v>-35000</v>
      </c>
      <c r="D63" s="5">
        <f t="shared" si="0"/>
        <v>-290.81645197236463</v>
      </c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3"/>
    </row>
    <row r="64" spans="1:26" ht="12.5" x14ac:dyDescent="0.25">
      <c r="A64" s="1"/>
      <c r="B64" s="5">
        <v>53</v>
      </c>
      <c r="C64" s="5">
        <v>-35000</v>
      </c>
      <c r="D64" s="5">
        <f t="shared" si="0"/>
        <v>-265.22248241893715</v>
      </c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</row>
    <row r="65" spans="1:26" ht="12.5" x14ac:dyDescent="0.25">
      <c r="A65" s="1"/>
      <c r="B65" s="5">
        <v>54</v>
      </c>
      <c r="C65" s="5">
        <v>-35000</v>
      </c>
      <c r="D65" s="5">
        <f t="shared" si="0"/>
        <v>-241.88096891831933</v>
      </c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3"/>
    </row>
    <row r="66" spans="1:26" ht="12.5" x14ac:dyDescent="0.25">
      <c r="A66" s="1"/>
      <c r="B66" s="5">
        <v>55</v>
      </c>
      <c r="C66" s="5">
        <v>-35000</v>
      </c>
      <c r="D66" s="5">
        <f t="shared" si="0"/>
        <v>-220.593678904076</v>
      </c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3"/>
    </row>
    <row r="67" spans="1:26" ht="12.5" x14ac:dyDescent="0.25">
      <c r="A67" s="1"/>
      <c r="B67" s="5">
        <v>56</v>
      </c>
      <c r="C67" s="5">
        <v>-35000</v>
      </c>
      <c r="D67" s="5">
        <f t="shared" si="0"/>
        <v>-201.17982572191156</v>
      </c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3"/>
    </row>
    <row r="68" spans="1:26" ht="12.5" x14ac:dyDescent="0.25">
      <c r="A68" s="1"/>
      <c r="B68" s="5">
        <v>57</v>
      </c>
      <c r="C68" s="5">
        <v>-35000</v>
      </c>
      <c r="D68" s="5">
        <f t="shared" si="0"/>
        <v>-183.47453326211721</v>
      </c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3"/>
    </row>
    <row r="69" spans="1:26" ht="12.5" x14ac:dyDescent="0.25">
      <c r="A69" s="1"/>
      <c r="B69" s="5">
        <v>58</v>
      </c>
      <c r="C69" s="5">
        <v>-35000</v>
      </c>
      <c r="D69" s="5">
        <f t="shared" si="0"/>
        <v>-167.3274357155652</v>
      </c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3"/>
    </row>
    <row r="70" spans="1:26" ht="12.5" x14ac:dyDescent="0.25">
      <c r="A70" s="1"/>
      <c r="B70" s="5">
        <v>59</v>
      </c>
      <c r="C70" s="5">
        <v>-35000</v>
      </c>
      <c r="D70" s="5">
        <f t="shared" si="0"/>
        <v>-152.60140056139096</v>
      </c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3"/>
    </row>
    <row r="71" spans="1:26" ht="12.5" x14ac:dyDescent="0.25">
      <c r="A71" s="1"/>
      <c r="B71" s="5">
        <v>60</v>
      </c>
      <c r="C71" s="5">
        <f>-35000+B8</f>
        <v>45000</v>
      </c>
      <c r="D71" s="5">
        <f t="shared" si="0"/>
        <v>178.93461078138472</v>
      </c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3"/>
    </row>
    <row r="72" spans="1:26" ht="12.5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3"/>
    </row>
    <row r="73" spans="1:26" ht="12.5" x14ac:dyDescent="0.25">
      <c r="A73" s="1"/>
      <c r="B73" s="1"/>
      <c r="C73" s="9" t="s">
        <v>20</v>
      </c>
      <c r="D73" s="10">
        <f>SUM(D11:D71)</f>
        <v>-2842602.195919306</v>
      </c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3"/>
    </row>
    <row r="74" spans="1:26" ht="12.5" x14ac:dyDescent="0.25">
      <c r="A74" s="1"/>
      <c r="B74" s="1"/>
      <c r="C74" s="9" t="s">
        <v>21</v>
      </c>
      <c r="D74" s="10">
        <f>(1-1/(1+B7)^B5)/B7</f>
        <v>10.321488863377919</v>
      </c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3"/>
    </row>
    <row r="75" spans="1:26" ht="12.5" x14ac:dyDescent="0.25">
      <c r="A75" s="1"/>
      <c r="B75" s="1"/>
      <c r="C75" s="9" t="s">
        <v>22</v>
      </c>
      <c r="D75" s="10">
        <f>D73/D74</f>
        <v>-275406.21644279006</v>
      </c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3"/>
    </row>
    <row r="76" spans="1:26" ht="12.5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3"/>
    </row>
    <row r="77" spans="1:26" ht="12.5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3"/>
    </row>
    <row r="78" spans="1:26" ht="12.5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3"/>
    </row>
    <row r="79" spans="1:26" ht="12.5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3"/>
    </row>
    <row r="80" spans="1:26" ht="12.5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3"/>
    </row>
    <row r="81" spans="1:26" ht="12.5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3"/>
    </row>
    <row r="82" spans="1:26" ht="12.5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3"/>
    </row>
    <row r="83" spans="1:26" ht="12.5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3"/>
    </row>
    <row r="84" spans="1:26" ht="12.5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3"/>
    </row>
    <row r="85" spans="1:26" ht="12.5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3"/>
    </row>
    <row r="86" spans="1:26" ht="12.5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3"/>
    </row>
    <row r="87" spans="1:26" ht="12.5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3"/>
    </row>
    <row r="88" spans="1:26" ht="12.5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3"/>
    </row>
    <row r="89" spans="1:26" ht="12.5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3"/>
    </row>
    <row r="90" spans="1:26" ht="12.5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3"/>
    </row>
    <row r="91" spans="1:26" ht="12.5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3"/>
    </row>
    <row r="92" spans="1:26" ht="12.5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3"/>
    </row>
    <row r="93" spans="1:26" ht="12.5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3"/>
    </row>
    <row r="94" spans="1:26" ht="12.5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3"/>
    </row>
    <row r="95" spans="1:26" ht="12.5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3"/>
    </row>
    <row r="96" spans="1:26" ht="12.5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3"/>
    </row>
    <row r="97" spans="1:26" ht="12.5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3"/>
    </row>
    <row r="98" spans="1:26" ht="12.5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3"/>
    </row>
    <row r="99" spans="1:26" ht="12.5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3"/>
    </row>
    <row r="100" spans="1:26" ht="12.5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3"/>
    </row>
    <row r="101" spans="1:26" ht="12.5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3"/>
    </row>
    <row r="102" spans="1:26" ht="12.5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3"/>
    </row>
    <row r="103" spans="1:26" ht="12.5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3"/>
    </row>
    <row r="104" spans="1:26" ht="12.5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3"/>
    </row>
    <row r="105" spans="1:26" ht="12.5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3"/>
    </row>
    <row r="106" spans="1:26" ht="12.5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3"/>
    </row>
    <row r="107" spans="1:26" ht="12.5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3"/>
    </row>
    <row r="108" spans="1:26" ht="12.5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3"/>
    </row>
    <row r="109" spans="1:26" ht="12.5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3"/>
    </row>
    <row r="110" spans="1:26" ht="12.5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3"/>
    </row>
    <row r="111" spans="1:26" ht="12.5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3"/>
    </row>
    <row r="112" spans="1:26" ht="12.5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3"/>
    </row>
    <row r="113" spans="1:26" ht="12.5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3"/>
    </row>
    <row r="114" spans="1:26" ht="12.5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3"/>
    </row>
    <row r="115" spans="1:26" ht="12.5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3"/>
    </row>
    <row r="116" spans="1:26" ht="12.5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3"/>
    </row>
    <row r="117" spans="1:26" ht="12.5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3"/>
    </row>
    <row r="118" spans="1:26" ht="12.5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3"/>
    </row>
    <row r="119" spans="1:26" ht="12.5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3"/>
    </row>
    <row r="120" spans="1:26" ht="12.5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3"/>
    </row>
    <row r="121" spans="1:26" ht="12.5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3"/>
    </row>
    <row r="122" spans="1:26" ht="12.5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3"/>
    </row>
    <row r="123" spans="1:26" ht="12.5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3"/>
    </row>
    <row r="124" spans="1:26" ht="12.5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3"/>
    </row>
    <row r="125" spans="1:26" ht="12.5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3"/>
    </row>
    <row r="126" spans="1:26" ht="12.5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3"/>
    </row>
    <row r="127" spans="1:26" ht="12.5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3"/>
    </row>
    <row r="128" spans="1:26" ht="12.5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3"/>
    </row>
    <row r="129" spans="1:26" ht="12.5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3"/>
    </row>
    <row r="130" spans="1:26" ht="12.5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3"/>
    </row>
    <row r="131" spans="1:26" ht="12.5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3"/>
    </row>
    <row r="132" spans="1:26" ht="12.5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3"/>
    </row>
    <row r="133" spans="1:26" ht="12.5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3"/>
    </row>
    <row r="134" spans="1:26" ht="12.5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3"/>
    </row>
    <row r="135" spans="1:26" ht="12.5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3"/>
    </row>
    <row r="136" spans="1:26" ht="12.5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3"/>
    </row>
    <row r="137" spans="1:26" ht="12.5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3"/>
    </row>
    <row r="138" spans="1:26" ht="12.5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3"/>
    </row>
    <row r="139" spans="1:26" ht="12.5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3"/>
    </row>
    <row r="140" spans="1:26" ht="12.5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3"/>
    </row>
    <row r="141" spans="1:26" ht="12.5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3"/>
    </row>
    <row r="142" spans="1:26" ht="12.5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3"/>
    </row>
    <row r="143" spans="1:26" ht="12.5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3"/>
    </row>
    <row r="144" spans="1:26" ht="12.5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3"/>
    </row>
    <row r="145" spans="1:26" ht="12.5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3"/>
    </row>
    <row r="146" spans="1:26" ht="12.5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3"/>
    </row>
    <row r="147" spans="1:26" ht="12.5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3"/>
    </row>
    <row r="148" spans="1:26" ht="12.5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3"/>
    </row>
    <row r="149" spans="1:26" ht="12.5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3"/>
    </row>
    <row r="150" spans="1:26" ht="12.5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3"/>
    </row>
    <row r="151" spans="1:26" ht="12.5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3"/>
    </row>
    <row r="152" spans="1:26" ht="12.5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3"/>
    </row>
    <row r="153" spans="1:26" ht="12.5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3"/>
    </row>
    <row r="154" spans="1:26" ht="12.5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3"/>
    </row>
    <row r="155" spans="1:26" ht="12.5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3"/>
    </row>
    <row r="156" spans="1:26" ht="12.5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3"/>
    </row>
    <row r="157" spans="1:26" ht="12.5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3"/>
    </row>
    <row r="158" spans="1:26" ht="12.5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3"/>
    </row>
    <row r="159" spans="1:26" ht="12.5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3"/>
    </row>
    <row r="160" spans="1:26" ht="12.5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3"/>
    </row>
    <row r="161" spans="1:26" ht="12.5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3"/>
    </row>
    <row r="162" spans="1:26" ht="12.5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3"/>
    </row>
    <row r="163" spans="1:26" ht="12.5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3"/>
    </row>
    <row r="164" spans="1:26" ht="12.5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3"/>
    </row>
    <row r="165" spans="1:26" ht="12.5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3"/>
    </row>
    <row r="166" spans="1:26" ht="12.5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3"/>
    </row>
    <row r="167" spans="1:26" ht="12.5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3"/>
    </row>
    <row r="168" spans="1:26" ht="12.5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3"/>
    </row>
    <row r="169" spans="1:26" ht="12.5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3"/>
    </row>
    <row r="170" spans="1:26" ht="12.5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3"/>
    </row>
    <row r="171" spans="1:26" ht="12.5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3"/>
    </row>
    <row r="172" spans="1:26" ht="12.5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3"/>
    </row>
    <row r="173" spans="1:26" ht="12.5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3"/>
    </row>
    <row r="174" spans="1:26" ht="12.5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3"/>
    </row>
    <row r="175" spans="1:26" ht="12.5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3"/>
    </row>
    <row r="176" spans="1:26" ht="12.5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3"/>
    </row>
    <row r="177" spans="1:26" ht="12.5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3"/>
    </row>
    <row r="178" spans="1:26" ht="12.5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3"/>
    </row>
    <row r="179" spans="1:26" ht="12.5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3"/>
    </row>
    <row r="180" spans="1:26" ht="12.5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3"/>
    </row>
    <row r="181" spans="1:26" ht="12.5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3"/>
    </row>
    <row r="182" spans="1:26" ht="12.5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3"/>
    </row>
    <row r="183" spans="1:26" ht="12.5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3"/>
    </row>
    <row r="184" spans="1:26" ht="12.5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3"/>
    </row>
    <row r="185" spans="1:26" ht="12.5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3"/>
    </row>
    <row r="186" spans="1:26" ht="12.5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3"/>
    </row>
    <row r="187" spans="1:26" ht="12.5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3"/>
    </row>
    <row r="188" spans="1:26" ht="12.5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3"/>
    </row>
    <row r="189" spans="1:26" ht="12.5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3"/>
    </row>
    <row r="190" spans="1:26" ht="12.5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3"/>
    </row>
    <row r="191" spans="1:26" ht="12.5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3"/>
    </row>
    <row r="192" spans="1:26" ht="12.5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3"/>
    </row>
    <row r="193" spans="1:26" ht="12.5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3"/>
    </row>
    <row r="194" spans="1:26" ht="12.5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3"/>
    </row>
    <row r="195" spans="1:26" ht="12.5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3"/>
    </row>
    <row r="196" spans="1:26" ht="12.5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3"/>
    </row>
    <row r="197" spans="1:26" ht="12.5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3"/>
    </row>
    <row r="198" spans="1:26" ht="12.5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3"/>
    </row>
    <row r="199" spans="1:26" ht="12.5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3"/>
    </row>
    <row r="200" spans="1:26" ht="12.5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3"/>
    </row>
    <row r="201" spans="1:26" ht="12.5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3"/>
    </row>
    <row r="202" spans="1:26" ht="12.5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3"/>
    </row>
    <row r="203" spans="1:26" ht="12.5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3"/>
    </row>
    <row r="204" spans="1:26" ht="12.5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3"/>
    </row>
    <row r="205" spans="1:26" ht="12.5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3"/>
    </row>
    <row r="206" spans="1:26" ht="12.5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3"/>
    </row>
    <row r="207" spans="1:26" ht="12.5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3"/>
    </row>
    <row r="208" spans="1:26" ht="12.5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3"/>
    </row>
    <row r="209" spans="1:26" ht="12.5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3"/>
    </row>
    <row r="210" spans="1:26" ht="12.5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3"/>
    </row>
    <row r="211" spans="1:26" ht="12.5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3"/>
    </row>
    <row r="212" spans="1:26" ht="12.5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3"/>
    </row>
    <row r="213" spans="1:26" ht="12.5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3"/>
    </row>
    <row r="214" spans="1:26" ht="12.5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3"/>
    </row>
    <row r="215" spans="1:26" ht="12.5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3"/>
    </row>
    <row r="216" spans="1:26" ht="12.5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3"/>
    </row>
    <row r="217" spans="1:26" ht="12.5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3"/>
    </row>
    <row r="218" spans="1:26" ht="12.5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3"/>
    </row>
    <row r="219" spans="1:26" ht="12.5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3"/>
    </row>
    <row r="220" spans="1:26" ht="12.5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3"/>
    </row>
    <row r="221" spans="1:26" ht="12.5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3"/>
    </row>
    <row r="222" spans="1:26" ht="12.5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3"/>
    </row>
    <row r="223" spans="1:26" ht="12.5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3"/>
    </row>
    <row r="224" spans="1:26" ht="12.5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3"/>
    </row>
    <row r="225" spans="1:26" ht="12.5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3"/>
    </row>
    <row r="226" spans="1:26" ht="12.5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3"/>
    </row>
    <row r="227" spans="1:26" ht="12.5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3"/>
    </row>
    <row r="228" spans="1:26" ht="12.5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3"/>
    </row>
    <row r="229" spans="1:26" ht="12.5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3"/>
    </row>
    <row r="230" spans="1:26" ht="12.5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3"/>
    </row>
    <row r="231" spans="1:26" ht="12.5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3"/>
    </row>
    <row r="232" spans="1:26" ht="12.5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3"/>
    </row>
    <row r="233" spans="1:26" ht="12.5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3"/>
    </row>
    <row r="234" spans="1:26" ht="12.5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3"/>
    </row>
    <row r="235" spans="1:26" ht="12.5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3"/>
    </row>
    <row r="236" spans="1:26" ht="12.5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3"/>
    </row>
    <row r="237" spans="1:26" ht="12.5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3"/>
    </row>
    <row r="238" spans="1:26" ht="12.5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3"/>
    </row>
    <row r="239" spans="1:26" ht="12.5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3"/>
    </row>
    <row r="240" spans="1:26" ht="12.5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"/>
      <c r="Z240" s="3"/>
    </row>
    <row r="241" spans="1:26" ht="12.5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"/>
      <c r="Z241" s="3"/>
    </row>
    <row r="242" spans="1:26" ht="12.5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"/>
      <c r="Z242" s="3"/>
    </row>
    <row r="243" spans="1:26" ht="12.5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"/>
      <c r="Z243" s="3"/>
    </row>
    <row r="244" spans="1:26" ht="12.5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3"/>
      <c r="Z244" s="3"/>
    </row>
    <row r="245" spans="1:26" ht="12.5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3"/>
      <c r="Z245" s="3"/>
    </row>
    <row r="246" spans="1:26" ht="12.5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3"/>
      <c r="Z246" s="3"/>
    </row>
    <row r="247" spans="1:26" ht="12.5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3"/>
      <c r="Z247" s="3"/>
    </row>
    <row r="248" spans="1:26" ht="12.5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3"/>
      <c r="Z248" s="3"/>
    </row>
    <row r="249" spans="1:26" ht="12.5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3"/>
      <c r="Z249" s="3"/>
    </row>
    <row r="250" spans="1:26" ht="12.5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3"/>
      <c r="Z250" s="3"/>
    </row>
    <row r="251" spans="1:26" ht="12.5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3"/>
      <c r="Z251" s="3"/>
    </row>
    <row r="252" spans="1:26" ht="12.5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3"/>
      <c r="Z252" s="3"/>
    </row>
    <row r="253" spans="1:26" ht="12.5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3"/>
      <c r="Z253" s="3"/>
    </row>
    <row r="254" spans="1:26" ht="12.5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3"/>
      <c r="Z254" s="3"/>
    </row>
    <row r="255" spans="1:26" ht="12.5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3"/>
      <c r="Z255" s="3"/>
    </row>
    <row r="256" spans="1:26" ht="12.5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3"/>
      <c r="Z256" s="3"/>
    </row>
    <row r="257" spans="1:26" ht="12.5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3"/>
      <c r="Z257" s="3"/>
    </row>
    <row r="258" spans="1:26" ht="12.5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3"/>
      <c r="Z258" s="3"/>
    </row>
    <row r="259" spans="1:26" ht="12.5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3"/>
      <c r="Z259" s="3"/>
    </row>
    <row r="260" spans="1:26" ht="12.5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3"/>
      <c r="Z260" s="3"/>
    </row>
    <row r="261" spans="1:26" ht="12.5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3"/>
      <c r="Z261" s="3"/>
    </row>
    <row r="262" spans="1:26" ht="12.5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3"/>
      <c r="Z262" s="3"/>
    </row>
    <row r="263" spans="1:26" ht="12.5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3"/>
      <c r="Z263" s="3"/>
    </row>
    <row r="264" spans="1:26" ht="12.5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3"/>
      <c r="Z264" s="3"/>
    </row>
    <row r="265" spans="1:26" ht="12.5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3"/>
      <c r="Z265" s="3"/>
    </row>
    <row r="266" spans="1:26" ht="12.5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3"/>
      <c r="Z266" s="3"/>
    </row>
    <row r="267" spans="1:26" ht="12.5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3"/>
      <c r="Z267" s="3"/>
    </row>
    <row r="268" spans="1:26" ht="12.5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3"/>
      <c r="Z268" s="3"/>
    </row>
    <row r="269" spans="1:26" ht="12.5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3"/>
      <c r="Z269" s="3"/>
    </row>
    <row r="270" spans="1:26" ht="12.5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3"/>
      <c r="Z270" s="3"/>
    </row>
    <row r="271" spans="1:26" ht="12.5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3"/>
      <c r="Z271" s="3"/>
    </row>
    <row r="272" spans="1:26" ht="12.5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3"/>
      <c r="Z272" s="3"/>
    </row>
    <row r="273" spans="1:26" ht="12.5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3"/>
      <c r="Z273" s="3"/>
    </row>
    <row r="274" spans="1:26" ht="12.5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3"/>
      <c r="Z274" s="3"/>
    </row>
    <row r="275" spans="1:26" ht="12.5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3"/>
      <c r="Z275" s="3"/>
    </row>
    <row r="276" spans="1:26" ht="12.5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3"/>
      <c r="Z276" s="3"/>
    </row>
    <row r="277" spans="1:26" ht="12.5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3"/>
      <c r="Z277" s="3"/>
    </row>
    <row r="278" spans="1:26" ht="12.5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3"/>
      <c r="Z278" s="3"/>
    </row>
    <row r="279" spans="1:26" ht="12.5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3"/>
      <c r="Z279" s="3"/>
    </row>
    <row r="280" spans="1:26" ht="12.5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3"/>
      <c r="Z280" s="3"/>
    </row>
    <row r="281" spans="1:26" ht="12.5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3"/>
      <c r="Z281" s="3"/>
    </row>
    <row r="282" spans="1:26" ht="12.5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3"/>
      <c r="Z282" s="3"/>
    </row>
    <row r="283" spans="1:26" ht="12.5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3"/>
      <c r="Z283" s="3"/>
    </row>
    <row r="284" spans="1:26" ht="12.5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3"/>
      <c r="Z284" s="3"/>
    </row>
    <row r="285" spans="1:26" ht="12.5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3"/>
      <c r="Z285" s="3"/>
    </row>
    <row r="286" spans="1:26" ht="12.5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3"/>
      <c r="Z286" s="3"/>
    </row>
    <row r="287" spans="1:26" ht="12.5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3"/>
      <c r="Z287" s="3"/>
    </row>
    <row r="288" spans="1:26" ht="12.5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3"/>
      <c r="Z288" s="3"/>
    </row>
    <row r="289" spans="1:26" ht="12.5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3"/>
      <c r="Z289" s="3"/>
    </row>
    <row r="290" spans="1:26" ht="12.5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3"/>
      <c r="Z290" s="3"/>
    </row>
    <row r="291" spans="1:26" ht="12.5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3"/>
      <c r="Z291" s="3"/>
    </row>
    <row r="292" spans="1:26" ht="12.5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3"/>
      <c r="Z292" s="3"/>
    </row>
    <row r="293" spans="1:26" ht="12.5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3"/>
      <c r="Z293" s="3"/>
    </row>
    <row r="294" spans="1:26" ht="12.5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3"/>
      <c r="Z294" s="3"/>
    </row>
    <row r="295" spans="1:26" ht="12.5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3"/>
      <c r="Z295" s="3"/>
    </row>
    <row r="296" spans="1:26" ht="12.5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3"/>
      <c r="Z296" s="3"/>
    </row>
    <row r="297" spans="1:26" ht="12.5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3"/>
      <c r="Z297" s="3"/>
    </row>
    <row r="298" spans="1:26" ht="12.5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3"/>
      <c r="Z298" s="3"/>
    </row>
    <row r="299" spans="1:26" ht="12.5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3"/>
      <c r="Z299" s="3"/>
    </row>
    <row r="300" spans="1:26" ht="12.5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3"/>
      <c r="Z300" s="3"/>
    </row>
    <row r="301" spans="1:26" ht="12.5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3"/>
      <c r="Z301" s="3"/>
    </row>
    <row r="302" spans="1:26" ht="12.5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3"/>
      <c r="Z302" s="3"/>
    </row>
    <row r="303" spans="1:26" ht="12.5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3"/>
      <c r="Z303" s="3"/>
    </row>
    <row r="304" spans="1:26" ht="12.5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3"/>
      <c r="Z304" s="3"/>
    </row>
    <row r="305" spans="1:26" ht="12.5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3"/>
      <c r="Z305" s="3"/>
    </row>
    <row r="306" spans="1:26" ht="12.5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3"/>
      <c r="Z306" s="3"/>
    </row>
    <row r="307" spans="1:26" ht="12.5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3"/>
      <c r="Z307" s="3"/>
    </row>
    <row r="308" spans="1:26" ht="12.5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3"/>
      <c r="Z308" s="3"/>
    </row>
    <row r="309" spans="1:26" ht="12.5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3"/>
      <c r="Z309" s="3"/>
    </row>
    <row r="310" spans="1:26" ht="12.5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3"/>
      <c r="Z310" s="3"/>
    </row>
    <row r="311" spans="1:26" ht="12.5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3"/>
      <c r="Z311" s="3"/>
    </row>
    <row r="312" spans="1:26" ht="12.5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3"/>
      <c r="Z312" s="3"/>
    </row>
    <row r="313" spans="1:26" ht="12.5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3"/>
      <c r="Z313" s="3"/>
    </row>
    <row r="314" spans="1:26" ht="12.5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3"/>
      <c r="Z314" s="3"/>
    </row>
    <row r="315" spans="1:26" ht="12.5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3"/>
      <c r="Z315" s="3"/>
    </row>
    <row r="316" spans="1:26" ht="12.5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3"/>
      <c r="Z316" s="3"/>
    </row>
    <row r="317" spans="1:26" ht="12.5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3"/>
      <c r="Z317" s="3"/>
    </row>
    <row r="318" spans="1:26" ht="12.5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3"/>
      <c r="Z318" s="3"/>
    </row>
    <row r="319" spans="1:26" ht="12.5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3"/>
      <c r="Z319" s="3"/>
    </row>
    <row r="320" spans="1:26" ht="12.5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3"/>
      <c r="Z320" s="3"/>
    </row>
    <row r="321" spans="1:26" ht="12.5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3"/>
      <c r="Z321" s="3"/>
    </row>
    <row r="322" spans="1:26" ht="12.5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3"/>
      <c r="Z322" s="3"/>
    </row>
    <row r="323" spans="1:26" ht="12.5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3"/>
      <c r="Z323" s="3"/>
    </row>
    <row r="324" spans="1:26" ht="12.5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3"/>
      <c r="Z324" s="3"/>
    </row>
    <row r="325" spans="1:26" ht="12.5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3"/>
      <c r="Z325" s="3"/>
    </row>
    <row r="326" spans="1:26" ht="12.5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3"/>
      <c r="Z326" s="3"/>
    </row>
    <row r="327" spans="1:26" ht="12.5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3"/>
      <c r="Z327" s="3"/>
    </row>
    <row r="328" spans="1:26" ht="12.5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3"/>
      <c r="Z328" s="3"/>
    </row>
    <row r="329" spans="1:26" ht="12.5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3"/>
      <c r="Z329" s="3"/>
    </row>
    <row r="330" spans="1:26" ht="12.5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3"/>
      <c r="Z330" s="3"/>
    </row>
    <row r="331" spans="1:26" ht="12.5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3"/>
      <c r="Z331" s="3"/>
    </row>
    <row r="332" spans="1:26" ht="12.5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3"/>
      <c r="Z332" s="3"/>
    </row>
    <row r="333" spans="1:26" ht="12.5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3"/>
      <c r="Z333" s="3"/>
    </row>
    <row r="334" spans="1:26" ht="12.5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3"/>
      <c r="Z334" s="3"/>
    </row>
    <row r="335" spans="1:26" ht="12.5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3"/>
      <c r="Z335" s="3"/>
    </row>
    <row r="336" spans="1:26" ht="12.5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3"/>
      <c r="Z336" s="3"/>
    </row>
    <row r="337" spans="1:26" ht="12.5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3"/>
      <c r="Z337" s="3"/>
    </row>
    <row r="338" spans="1:26" ht="12.5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3"/>
      <c r="Z338" s="3"/>
    </row>
    <row r="339" spans="1:26" ht="12.5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3"/>
      <c r="Z339" s="3"/>
    </row>
    <row r="340" spans="1:26" ht="12.5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3"/>
      <c r="Z340" s="3"/>
    </row>
    <row r="341" spans="1:26" ht="12.5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3"/>
      <c r="Z341" s="3"/>
    </row>
    <row r="342" spans="1:26" ht="12.5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3"/>
      <c r="Z342" s="3"/>
    </row>
    <row r="343" spans="1:26" ht="12.5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3"/>
      <c r="Z343" s="3"/>
    </row>
    <row r="344" spans="1:26" ht="12.5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3"/>
      <c r="Z344" s="3"/>
    </row>
    <row r="345" spans="1:26" ht="12.5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3"/>
      <c r="Z345" s="3"/>
    </row>
    <row r="346" spans="1:26" ht="12.5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3"/>
      <c r="Z346" s="3"/>
    </row>
    <row r="347" spans="1:26" ht="12.5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3"/>
      <c r="Z347" s="3"/>
    </row>
    <row r="348" spans="1:26" ht="12.5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3"/>
      <c r="Z348" s="3"/>
    </row>
    <row r="349" spans="1:26" ht="12.5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3"/>
      <c r="Z349" s="3"/>
    </row>
    <row r="350" spans="1:26" ht="12.5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3"/>
      <c r="Z350" s="3"/>
    </row>
    <row r="351" spans="1:26" ht="12.5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3"/>
      <c r="Z351" s="3"/>
    </row>
    <row r="352" spans="1:26" ht="12.5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3"/>
      <c r="Z352" s="3"/>
    </row>
    <row r="353" spans="1:26" ht="12.5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3"/>
      <c r="Z353" s="3"/>
    </row>
    <row r="354" spans="1:26" ht="12.5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3"/>
      <c r="Z354" s="3"/>
    </row>
    <row r="355" spans="1:26" ht="12.5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3"/>
      <c r="Z355" s="3"/>
    </row>
    <row r="356" spans="1:26" ht="12.5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3"/>
      <c r="Z356" s="3"/>
    </row>
    <row r="357" spans="1:26" ht="12.5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3"/>
      <c r="Z357" s="3"/>
    </row>
    <row r="358" spans="1:26" ht="12.5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3"/>
      <c r="Z358" s="3"/>
    </row>
    <row r="359" spans="1:26" ht="12.5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3"/>
      <c r="Z359" s="3"/>
    </row>
    <row r="360" spans="1:26" ht="12.5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3"/>
      <c r="Z360" s="3"/>
    </row>
    <row r="361" spans="1:26" ht="12.5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3"/>
      <c r="Z361" s="3"/>
    </row>
    <row r="362" spans="1:26" ht="12.5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3"/>
      <c r="Z362" s="3"/>
    </row>
    <row r="363" spans="1:26" ht="12.5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3"/>
      <c r="Z363" s="3"/>
    </row>
    <row r="364" spans="1:26" ht="12.5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3"/>
      <c r="Z364" s="3"/>
    </row>
    <row r="365" spans="1:26" ht="12.5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3"/>
      <c r="Z365" s="3"/>
    </row>
    <row r="366" spans="1:26" ht="12.5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3"/>
      <c r="Z366" s="3"/>
    </row>
    <row r="367" spans="1:26" ht="12.5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3"/>
      <c r="Z367" s="3"/>
    </row>
    <row r="368" spans="1:26" ht="12.5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3"/>
      <c r="Z368" s="3"/>
    </row>
    <row r="369" spans="1:26" ht="12.5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3"/>
      <c r="Z369" s="3"/>
    </row>
    <row r="370" spans="1:26" ht="12.5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3"/>
      <c r="Z370" s="3"/>
    </row>
    <row r="371" spans="1:26" ht="12.5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3"/>
      <c r="Z371" s="3"/>
    </row>
    <row r="372" spans="1:26" ht="12.5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3"/>
      <c r="Z372" s="3"/>
    </row>
    <row r="373" spans="1:26" ht="12.5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3"/>
      <c r="Z373" s="3"/>
    </row>
    <row r="374" spans="1:26" ht="12.5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3"/>
      <c r="Z374" s="3"/>
    </row>
    <row r="375" spans="1:26" ht="12.5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3"/>
      <c r="Z375" s="3"/>
    </row>
    <row r="376" spans="1:26" ht="12.5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3"/>
      <c r="Z376" s="3"/>
    </row>
    <row r="377" spans="1:26" ht="12.5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3"/>
      <c r="Z377" s="3"/>
    </row>
    <row r="378" spans="1:26" ht="12.5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3"/>
      <c r="Z378" s="3"/>
    </row>
    <row r="379" spans="1:26" ht="12.5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3"/>
      <c r="Z379" s="3"/>
    </row>
    <row r="380" spans="1:26" ht="12.5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3"/>
      <c r="Z380" s="3"/>
    </row>
    <row r="381" spans="1:26" ht="12.5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3"/>
      <c r="Z381" s="3"/>
    </row>
    <row r="382" spans="1:26" ht="12.5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3"/>
      <c r="Z382" s="3"/>
    </row>
    <row r="383" spans="1:26" ht="12.5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3"/>
      <c r="Z383" s="3"/>
    </row>
    <row r="384" spans="1:26" ht="12.5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3"/>
      <c r="Z384" s="3"/>
    </row>
    <row r="385" spans="1:26" ht="12.5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3"/>
      <c r="Z385" s="3"/>
    </row>
    <row r="386" spans="1:26" ht="12.5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3"/>
      <c r="Z386" s="3"/>
    </row>
    <row r="387" spans="1:26" ht="12.5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3"/>
      <c r="Z387" s="3"/>
    </row>
    <row r="388" spans="1:26" ht="12.5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3"/>
      <c r="Z388" s="3"/>
    </row>
    <row r="389" spans="1:26" ht="12.5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3"/>
      <c r="Z389" s="3"/>
    </row>
    <row r="390" spans="1:26" ht="12.5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3"/>
      <c r="Z390" s="3"/>
    </row>
    <row r="391" spans="1:26" ht="12.5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3"/>
      <c r="Z391" s="3"/>
    </row>
    <row r="392" spans="1:26" ht="12.5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3"/>
      <c r="Z392" s="3"/>
    </row>
    <row r="393" spans="1:26" ht="12.5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3"/>
      <c r="Z393" s="3"/>
    </row>
    <row r="394" spans="1:26" ht="12.5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3"/>
      <c r="Z394" s="3"/>
    </row>
    <row r="395" spans="1:26" ht="12.5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3"/>
      <c r="Z395" s="3"/>
    </row>
    <row r="396" spans="1:26" ht="12.5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3"/>
      <c r="Z396" s="3"/>
    </row>
    <row r="397" spans="1:26" ht="12.5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3"/>
      <c r="Z397" s="3"/>
    </row>
    <row r="398" spans="1:26" ht="12.5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3"/>
      <c r="Z398" s="3"/>
    </row>
    <row r="399" spans="1:26" ht="12.5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3"/>
      <c r="Z399" s="3"/>
    </row>
    <row r="400" spans="1:26" ht="12.5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3"/>
      <c r="Z400" s="3"/>
    </row>
    <row r="401" spans="1:26" ht="12.5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3"/>
      <c r="Z401" s="3"/>
    </row>
    <row r="402" spans="1:26" ht="12.5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3"/>
      <c r="Z402" s="3"/>
    </row>
    <row r="403" spans="1:26" ht="12.5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3"/>
      <c r="Z403" s="3"/>
    </row>
    <row r="404" spans="1:26" ht="12.5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3"/>
      <c r="Z404" s="3"/>
    </row>
    <row r="405" spans="1:26" ht="12.5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3"/>
      <c r="Z405" s="3"/>
    </row>
    <row r="406" spans="1:26" ht="12.5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3"/>
      <c r="Z406" s="3"/>
    </row>
    <row r="407" spans="1:26" ht="12.5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3"/>
      <c r="Z407" s="3"/>
    </row>
    <row r="408" spans="1:26" ht="12.5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3"/>
      <c r="Z408" s="3"/>
    </row>
    <row r="409" spans="1:26" ht="12.5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3"/>
      <c r="Z409" s="3"/>
    </row>
    <row r="410" spans="1:26" ht="12.5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3"/>
      <c r="Z410" s="3"/>
    </row>
    <row r="411" spans="1:26" ht="12.5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3"/>
      <c r="Z411" s="3"/>
    </row>
    <row r="412" spans="1:26" ht="12.5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3"/>
      <c r="Z412" s="3"/>
    </row>
    <row r="413" spans="1:26" ht="12.5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3"/>
      <c r="Z413" s="3"/>
    </row>
    <row r="414" spans="1:26" ht="12.5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3"/>
      <c r="Z414" s="3"/>
    </row>
    <row r="415" spans="1:26" ht="12.5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3"/>
      <c r="Z415" s="3"/>
    </row>
    <row r="416" spans="1:26" ht="12.5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3"/>
      <c r="Z416" s="3"/>
    </row>
    <row r="417" spans="1:26" ht="12.5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3"/>
      <c r="Z417" s="3"/>
    </row>
    <row r="418" spans="1:26" ht="12.5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3"/>
      <c r="Z418" s="3"/>
    </row>
    <row r="419" spans="1:26" ht="12.5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3"/>
      <c r="Z419" s="3"/>
    </row>
    <row r="420" spans="1:26" ht="12.5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3"/>
      <c r="Z420" s="3"/>
    </row>
    <row r="421" spans="1:26" ht="12.5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3"/>
      <c r="Z421" s="3"/>
    </row>
    <row r="422" spans="1:26" ht="12.5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3"/>
      <c r="Z422" s="3"/>
    </row>
    <row r="423" spans="1:26" ht="12.5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3"/>
      <c r="Z423" s="3"/>
    </row>
    <row r="424" spans="1:26" ht="12.5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3"/>
      <c r="Z424" s="3"/>
    </row>
    <row r="425" spans="1:26" ht="12.5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3"/>
      <c r="Z425" s="3"/>
    </row>
    <row r="426" spans="1:26" ht="12.5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3"/>
      <c r="Z426" s="3"/>
    </row>
    <row r="427" spans="1:26" ht="12.5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3"/>
      <c r="Z427" s="3"/>
    </row>
    <row r="428" spans="1:26" ht="12.5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3"/>
      <c r="Z428" s="3"/>
    </row>
    <row r="429" spans="1:26" ht="12.5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3"/>
      <c r="Z429" s="3"/>
    </row>
    <row r="430" spans="1:26" ht="12.5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3"/>
      <c r="Z430" s="3"/>
    </row>
    <row r="431" spans="1:26" ht="12.5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3"/>
      <c r="Z431" s="3"/>
    </row>
    <row r="432" spans="1:26" ht="12.5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3"/>
      <c r="Z432" s="3"/>
    </row>
    <row r="433" spans="1:26" ht="12.5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3"/>
      <c r="Z433" s="3"/>
    </row>
    <row r="434" spans="1:26" ht="12.5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3"/>
      <c r="Z434" s="3"/>
    </row>
    <row r="435" spans="1:26" ht="12.5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3"/>
      <c r="Z435" s="3"/>
    </row>
    <row r="436" spans="1:26" ht="12.5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3"/>
      <c r="Z436" s="3"/>
    </row>
    <row r="437" spans="1:26" ht="12.5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3"/>
      <c r="Z437" s="3"/>
    </row>
    <row r="438" spans="1:26" ht="12.5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3"/>
      <c r="Z438" s="3"/>
    </row>
    <row r="439" spans="1:26" ht="12.5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3"/>
      <c r="Z439" s="3"/>
    </row>
    <row r="440" spans="1:26" ht="12.5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3"/>
      <c r="Z440" s="3"/>
    </row>
    <row r="441" spans="1:26" ht="12.5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3"/>
      <c r="Z441" s="3"/>
    </row>
    <row r="442" spans="1:26" ht="12.5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3"/>
      <c r="Z442" s="3"/>
    </row>
    <row r="443" spans="1:26" ht="12.5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3"/>
      <c r="Z443" s="3"/>
    </row>
    <row r="444" spans="1:26" ht="12.5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3"/>
      <c r="Z444" s="3"/>
    </row>
    <row r="445" spans="1:26" ht="12.5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3"/>
      <c r="Z445" s="3"/>
    </row>
    <row r="446" spans="1:26" ht="12.5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3"/>
      <c r="Z446" s="3"/>
    </row>
    <row r="447" spans="1:26" ht="12.5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3"/>
      <c r="Z447" s="3"/>
    </row>
    <row r="448" spans="1:26" ht="12.5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3"/>
      <c r="Z448" s="3"/>
    </row>
    <row r="449" spans="1:26" ht="12.5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3"/>
      <c r="Z449" s="3"/>
    </row>
    <row r="450" spans="1:26" ht="12.5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3"/>
      <c r="Z450" s="3"/>
    </row>
    <row r="451" spans="1:26" ht="12.5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3"/>
      <c r="Z451" s="3"/>
    </row>
    <row r="452" spans="1:26" ht="12.5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3"/>
      <c r="Z452" s="3"/>
    </row>
    <row r="453" spans="1:26" ht="12.5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3"/>
      <c r="Z453" s="3"/>
    </row>
    <row r="454" spans="1:26" ht="12.5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3"/>
      <c r="Z454" s="3"/>
    </row>
    <row r="455" spans="1:26" ht="12.5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3"/>
      <c r="Z455" s="3"/>
    </row>
    <row r="456" spans="1:26" ht="12.5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3"/>
      <c r="Z456" s="3"/>
    </row>
    <row r="457" spans="1:26" ht="12.5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3"/>
      <c r="Z457" s="3"/>
    </row>
    <row r="458" spans="1:26" ht="12.5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3"/>
      <c r="Z458" s="3"/>
    </row>
    <row r="459" spans="1:26" ht="12.5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3"/>
      <c r="Z459" s="3"/>
    </row>
    <row r="460" spans="1:26" ht="12.5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3"/>
      <c r="Z460" s="3"/>
    </row>
    <row r="461" spans="1:26" ht="12.5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3"/>
      <c r="Z461" s="3"/>
    </row>
    <row r="462" spans="1:26" ht="12.5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3"/>
      <c r="Z462" s="3"/>
    </row>
    <row r="463" spans="1:26" ht="12.5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3"/>
      <c r="Z463" s="3"/>
    </row>
    <row r="464" spans="1:26" ht="12.5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3"/>
      <c r="Z464" s="3"/>
    </row>
    <row r="465" spans="1:26" ht="12.5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3"/>
      <c r="Z465" s="3"/>
    </row>
    <row r="466" spans="1:26" ht="12.5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3"/>
      <c r="Z466" s="3"/>
    </row>
    <row r="467" spans="1:26" ht="12.5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3"/>
      <c r="Z467" s="3"/>
    </row>
    <row r="468" spans="1:26" ht="12.5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3"/>
      <c r="Z468" s="3"/>
    </row>
    <row r="469" spans="1:26" ht="12.5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3"/>
      <c r="Z469" s="3"/>
    </row>
    <row r="470" spans="1:26" ht="12.5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3"/>
      <c r="Z470" s="3"/>
    </row>
    <row r="471" spans="1:26" ht="12.5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3"/>
      <c r="Z471" s="3"/>
    </row>
    <row r="472" spans="1:26" ht="12.5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3"/>
      <c r="Z472" s="3"/>
    </row>
    <row r="473" spans="1:26" ht="12.5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3"/>
      <c r="Z473" s="3"/>
    </row>
    <row r="474" spans="1:26" ht="12.5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3"/>
      <c r="Z474" s="3"/>
    </row>
    <row r="475" spans="1:26" ht="12.5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3"/>
      <c r="Z475" s="3"/>
    </row>
    <row r="476" spans="1:26" ht="12.5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3"/>
      <c r="Z476" s="3"/>
    </row>
    <row r="477" spans="1:26" ht="12.5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3"/>
      <c r="Z477" s="3"/>
    </row>
    <row r="478" spans="1:26" ht="12.5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3"/>
      <c r="Z478" s="3"/>
    </row>
    <row r="479" spans="1:26" ht="12.5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3"/>
      <c r="Z479" s="3"/>
    </row>
    <row r="480" spans="1:26" ht="12.5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3"/>
      <c r="Z480" s="3"/>
    </row>
    <row r="481" spans="1:26" ht="12.5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3"/>
      <c r="Z481" s="3"/>
    </row>
    <row r="482" spans="1:26" ht="12.5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3"/>
      <c r="Z482" s="3"/>
    </row>
    <row r="483" spans="1:26" ht="12.5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3"/>
      <c r="Z483" s="3"/>
    </row>
    <row r="484" spans="1:26" ht="12.5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3"/>
      <c r="Z484" s="3"/>
    </row>
    <row r="485" spans="1:26" ht="12.5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3"/>
      <c r="Z485" s="3"/>
    </row>
    <row r="486" spans="1:26" ht="12.5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3"/>
      <c r="Z486" s="3"/>
    </row>
    <row r="487" spans="1:26" ht="12.5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3"/>
      <c r="Z487" s="3"/>
    </row>
    <row r="488" spans="1:26" ht="12.5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3"/>
      <c r="Z488" s="3"/>
    </row>
    <row r="489" spans="1:26" ht="12.5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3"/>
      <c r="Z489" s="3"/>
    </row>
    <row r="490" spans="1:26" ht="12.5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3"/>
      <c r="Z490" s="3"/>
    </row>
    <row r="491" spans="1:26" ht="12.5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3"/>
      <c r="Z491" s="3"/>
    </row>
    <row r="492" spans="1:26" ht="12.5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3"/>
      <c r="Z492" s="3"/>
    </row>
    <row r="493" spans="1:26" ht="12.5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3"/>
      <c r="Z493" s="3"/>
    </row>
    <row r="494" spans="1:26" ht="12.5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3"/>
      <c r="Z494" s="3"/>
    </row>
    <row r="495" spans="1:26" ht="12.5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3"/>
      <c r="Z495" s="3"/>
    </row>
    <row r="496" spans="1:26" ht="12.5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3"/>
      <c r="Z496" s="3"/>
    </row>
    <row r="497" spans="1:26" ht="12.5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3"/>
      <c r="Z497" s="3"/>
    </row>
    <row r="498" spans="1:26" ht="12.5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3"/>
      <c r="Z498" s="3"/>
    </row>
    <row r="499" spans="1:26" ht="12.5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3"/>
      <c r="Z499" s="3"/>
    </row>
    <row r="500" spans="1:26" ht="12.5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3"/>
      <c r="Z500" s="3"/>
    </row>
    <row r="501" spans="1:26" ht="12.5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3"/>
      <c r="Z501" s="3"/>
    </row>
    <row r="502" spans="1:26" ht="12.5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3"/>
      <c r="Z502" s="3"/>
    </row>
    <row r="503" spans="1:26" ht="12.5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3"/>
      <c r="Z503" s="3"/>
    </row>
    <row r="504" spans="1:26" ht="12.5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3"/>
      <c r="Z504" s="3"/>
    </row>
    <row r="505" spans="1:26" ht="12.5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3"/>
      <c r="Z505" s="3"/>
    </row>
    <row r="506" spans="1:26" ht="12.5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3"/>
      <c r="Z506" s="3"/>
    </row>
    <row r="507" spans="1:26" ht="12.5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3"/>
      <c r="Z507" s="3"/>
    </row>
    <row r="508" spans="1:26" ht="12.5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3"/>
      <c r="Z508" s="3"/>
    </row>
    <row r="509" spans="1:26" ht="12.5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3"/>
      <c r="Z509" s="3"/>
    </row>
    <row r="510" spans="1:26" ht="12.5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3"/>
      <c r="Z510" s="3"/>
    </row>
    <row r="511" spans="1:26" ht="12.5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3"/>
      <c r="Z511" s="3"/>
    </row>
    <row r="512" spans="1:26" ht="12.5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3"/>
      <c r="Z512" s="3"/>
    </row>
    <row r="513" spans="1:26" ht="12.5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3"/>
      <c r="Z513" s="3"/>
    </row>
    <row r="514" spans="1:26" ht="12.5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3"/>
      <c r="Z514" s="3"/>
    </row>
    <row r="515" spans="1:26" ht="12.5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3"/>
      <c r="Z515" s="3"/>
    </row>
    <row r="516" spans="1:26" ht="12.5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3"/>
      <c r="Z516" s="3"/>
    </row>
    <row r="517" spans="1:26" ht="12.5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3"/>
      <c r="Z517" s="3"/>
    </row>
    <row r="518" spans="1:26" ht="12.5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3"/>
      <c r="Z518" s="3"/>
    </row>
    <row r="519" spans="1:26" ht="12.5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3"/>
      <c r="Z519" s="3"/>
    </row>
    <row r="520" spans="1:26" ht="12.5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3"/>
      <c r="Z520" s="3"/>
    </row>
    <row r="521" spans="1:26" ht="12.5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3"/>
      <c r="Z521" s="3"/>
    </row>
    <row r="522" spans="1:26" ht="12.5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3"/>
      <c r="Z522" s="3"/>
    </row>
    <row r="523" spans="1:26" ht="12.5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3"/>
      <c r="Z523" s="3"/>
    </row>
    <row r="524" spans="1:26" ht="12.5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3"/>
      <c r="Z524" s="3"/>
    </row>
    <row r="525" spans="1:26" ht="12.5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3"/>
      <c r="Z525" s="3"/>
    </row>
    <row r="526" spans="1:26" ht="12.5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3"/>
      <c r="Z526" s="3"/>
    </row>
    <row r="527" spans="1:26" ht="12.5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3"/>
      <c r="Z527" s="3"/>
    </row>
    <row r="528" spans="1:26" ht="12.5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3"/>
      <c r="Z528" s="3"/>
    </row>
    <row r="529" spans="1:26" ht="12.5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3"/>
      <c r="Z529" s="3"/>
    </row>
    <row r="530" spans="1:26" ht="12.5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3"/>
      <c r="Z530" s="3"/>
    </row>
    <row r="531" spans="1:26" ht="12.5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3"/>
      <c r="Z531" s="3"/>
    </row>
    <row r="532" spans="1:26" ht="12.5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3"/>
      <c r="Z532" s="3"/>
    </row>
    <row r="533" spans="1:26" ht="12.5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3"/>
      <c r="Z533" s="3"/>
    </row>
    <row r="534" spans="1:26" ht="12.5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3"/>
      <c r="Z534" s="3"/>
    </row>
    <row r="535" spans="1:26" ht="12.5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3"/>
      <c r="Z535" s="3"/>
    </row>
    <row r="536" spans="1:26" ht="12.5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3"/>
      <c r="Z536" s="3"/>
    </row>
    <row r="537" spans="1:26" ht="12.5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3"/>
      <c r="Z537" s="3"/>
    </row>
    <row r="538" spans="1:26" ht="12.5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3"/>
      <c r="Z538" s="3"/>
    </row>
    <row r="539" spans="1:26" ht="12.5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3"/>
      <c r="Z539" s="3"/>
    </row>
    <row r="540" spans="1:26" ht="12.5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3"/>
      <c r="Z540" s="3"/>
    </row>
    <row r="541" spans="1:26" ht="12.5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3"/>
      <c r="Z541" s="3"/>
    </row>
    <row r="542" spans="1:26" ht="12.5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3"/>
      <c r="Z542" s="3"/>
    </row>
    <row r="543" spans="1:26" ht="12.5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3"/>
      <c r="Z543" s="3"/>
    </row>
    <row r="544" spans="1:26" ht="12.5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3"/>
      <c r="Z544" s="3"/>
    </row>
    <row r="545" spans="1:26" ht="12.5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3"/>
      <c r="Z545" s="3"/>
    </row>
    <row r="546" spans="1:26" ht="12.5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3"/>
      <c r="Z546" s="3"/>
    </row>
    <row r="547" spans="1:26" ht="12.5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3"/>
      <c r="Z547" s="3"/>
    </row>
    <row r="548" spans="1:26" ht="12.5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3"/>
      <c r="Z548" s="3"/>
    </row>
    <row r="549" spans="1:26" ht="12.5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3"/>
      <c r="Z549" s="3"/>
    </row>
    <row r="550" spans="1:26" ht="12.5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3"/>
      <c r="Z550" s="3"/>
    </row>
    <row r="551" spans="1:26" ht="12.5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3"/>
      <c r="Z551" s="3"/>
    </row>
    <row r="552" spans="1:26" ht="12.5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3"/>
      <c r="Z552" s="3"/>
    </row>
    <row r="553" spans="1:26" ht="12.5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3"/>
      <c r="Z553" s="3"/>
    </row>
    <row r="554" spans="1:26" ht="12.5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3"/>
      <c r="Z554" s="3"/>
    </row>
    <row r="555" spans="1:26" ht="12.5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3"/>
      <c r="Z555" s="3"/>
    </row>
    <row r="556" spans="1:26" ht="12.5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3"/>
      <c r="Z556" s="3"/>
    </row>
    <row r="557" spans="1:26" ht="12.5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3"/>
      <c r="Z557" s="3"/>
    </row>
    <row r="558" spans="1:26" ht="12.5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3"/>
      <c r="Z558" s="3"/>
    </row>
    <row r="559" spans="1:26" ht="12.5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3"/>
      <c r="Z559" s="3"/>
    </row>
    <row r="560" spans="1:26" ht="12.5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3"/>
      <c r="Z560" s="3"/>
    </row>
    <row r="561" spans="1:26" ht="12.5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3"/>
      <c r="Z561" s="3"/>
    </row>
    <row r="562" spans="1:26" ht="12.5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3"/>
      <c r="Z562" s="3"/>
    </row>
    <row r="563" spans="1:26" ht="12.5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3"/>
      <c r="Z563" s="3"/>
    </row>
    <row r="564" spans="1:26" ht="12.5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3"/>
      <c r="Z564" s="3"/>
    </row>
    <row r="565" spans="1:26" ht="12.5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3"/>
      <c r="Z565" s="3"/>
    </row>
    <row r="566" spans="1:26" ht="12.5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3"/>
      <c r="Z566" s="3"/>
    </row>
    <row r="567" spans="1:26" ht="12.5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3"/>
      <c r="Z567" s="3"/>
    </row>
    <row r="568" spans="1:26" ht="12.5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3"/>
      <c r="Z568" s="3"/>
    </row>
    <row r="569" spans="1:26" ht="12.5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3"/>
      <c r="Z569" s="3"/>
    </row>
    <row r="570" spans="1:26" ht="12.5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3"/>
      <c r="Z570" s="3"/>
    </row>
    <row r="571" spans="1:26" ht="12.5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3"/>
      <c r="Z571" s="3"/>
    </row>
    <row r="572" spans="1:26" ht="12.5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3"/>
      <c r="Z572" s="3"/>
    </row>
    <row r="573" spans="1:26" ht="12.5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3"/>
      <c r="Z573" s="3"/>
    </row>
    <row r="574" spans="1:26" ht="12.5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3"/>
      <c r="Z574" s="3"/>
    </row>
    <row r="575" spans="1:26" ht="12.5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3"/>
      <c r="Z575" s="3"/>
    </row>
    <row r="576" spans="1:26" ht="12.5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3"/>
      <c r="Z576" s="3"/>
    </row>
    <row r="577" spans="1:26" ht="12.5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3"/>
      <c r="Z577" s="3"/>
    </row>
    <row r="578" spans="1:26" ht="12.5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3"/>
      <c r="Z578" s="3"/>
    </row>
    <row r="579" spans="1:26" ht="12.5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3"/>
      <c r="Z579" s="3"/>
    </row>
    <row r="580" spans="1:26" ht="12.5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3"/>
      <c r="Z580" s="3"/>
    </row>
    <row r="581" spans="1:26" ht="12.5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3"/>
      <c r="Z581" s="3"/>
    </row>
    <row r="582" spans="1:26" ht="12.5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3"/>
      <c r="Z582" s="3"/>
    </row>
    <row r="583" spans="1:26" ht="12.5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3"/>
      <c r="Z583" s="3"/>
    </row>
    <row r="584" spans="1:26" ht="12.5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3"/>
      <c r="Z584" s="3"/>
    </row>
    <row r="585" spans="1:26" ht="12.5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3"/>
      <c r="Z585" s="3"/>
    </row>
    <row r="586" spans="1:26" ht="12.5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3"/>
      <c r="Z586" s="3"/>
    </row>
    <row r="587" spans="1:26" ht="12.5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3"/>
      <c r="Z587" s="3"/>
    </row>
    <row r="588" spans="1:26" ht="12.5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3"/>
      <c r="Z588" s="3"/>
    </row>
    <row r="589" spans="1:26" ht="12.5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3"/>
      <c r="Z589" s="3"/>
    </row>
    <row r="590" spans="1:26" ht="12.5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3"/>
      <c r="Z590" s="3"/>
    </row>
    <row r="591" spans="1:26" ht="12.5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3"/>
      <c r="Z591" s="3"/>
    </row>
    <row r="592" spans="1:26" ht="12.5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3"/>
      <c r="Z592" s="3"/>
    </row>
    <row r="593" spans="1:26" ht="12.5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3"/>
      <c r="Z593" s="3"/>
    </row>
    <row r="594" spans="1:26" ht="12.5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3"/>
      <c r="Z594" s="3"/>
    </row>
    <row r="595" spans="1:26" ht="12.5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3"/>
      <c r="Z595" s="3"/>
    </row>
    <row r="596" spans="1:26" ht="12.5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3"/>
      <c r="Z596" s="3"/>
    </row>
    <row r="597" spans="1:26" ht="12.5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3"/>
      <c r="Z597" s="3"/>
    </row>
    <row r="598" spans="1:26" ht="12.5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3"/>
      <c r="Z598" s="3"/>
    </row>
    <row r="599" spans="1:26" ht="12.5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3"/>
      <c r="Z599" s="3"/>
    </row>
    <row r="600" spans="1:26" ht="12.5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3"/>
      <c r="Z600" s="3"/>
    </row>
    <row r="601" spans="1:26" ht="12.5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3"/>
      <c r="Z601" s="3"/>
    </row>
    <row r="602" spans="1:26" ht="12.5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3"/>
      <c r="Z602" s="3"/>
    </row>
    <row r="603" spans="1:26" ht="12.5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3"/>
      <c r="Z603" s="3"/>
    </row>
    <row r="604" spans="1:26" ht="12.5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3"/>
      <c r="Z604" s="3"/>
    </row>
    <row r="605" spans="1:26" ht="12.5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3"/>
      <c r="Z605" s="3"/>
    </row>
    <row r="606" spans="1:26" ht="12.5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3"/>
      <c r="Z606" s="3"/>
    </row>
    <row r="607" spans="1:26" ht="12.5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3"/>
      <c r="Z607" s="3"/>
    </row>
    <row r="608" spans="1:26" ht="12.5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3"/>
      <c r="Z608" s="3"/>
    </row>
    <row r="609" spans="1:26" ht="12.5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3"/>
      <c r="Z609" s="3"/>
    </row>
    <row r="610" spans="1:26" ht="12.5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3"/>
      <c r="Z610" s="3"/>
    </row>
    <row r="611" spans="1:26" ht="12.5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3"/>
      <c r="Z611" s="3"/>
    </row>
    <row r="612" spans="1:26" ht="12.5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3"/>
      <c r="Z612" s="3"/>
    </row>
    <row r="613" spans="1:26" ht="12.5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3"/>
      <c r="Z613" s="3"/>
    </row>
    <row r="614" spans="1:26" ht="12.5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3"/>
      <c r="Z614" s="3"/>
    </row>
    <row r="615" spans="1:26" ht="12.5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3"/>
      <c r="Z615" s="3"/>
    </row>
    <row r="616" spans="1:26" ht="12.5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3"/>
      <c r="Z616" s="3"/>
    </row>
    <row r="617" spans="1:26" ht="12.5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3"/>
      <c r="Z617" s="3"/>
    </row>
    <row r="618" spans="1:26" ht="12.5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3"/>
      <c r="Z618" s="3"/>
    </row>
    <row r="619" spans="1:26" ht="12.5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3"/>
      <c r="Z619" s="3"/>
    </row>
    <row r="620" spans="1:26" ht="12.5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3"/>
      <c r="Z620" s="3"/>
    </row>
    <row r="621" spans="1:26" ht="12.5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3"/>
      <c r="Z621" s="3"/>
    </row>
    <row r="622" spans="1:26" ht="12.5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3"/>
      <c r="Z622" s="3"/>
    </row>
    <row r="623" spans="1:26" ht="12.5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3"/>
      <c r="Z623" s="3"/>
    </row>
    <row r="624" spans="1:26" ht="12.5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3"/>
      <c r="Z624" s="3"/>
    </row>
    <row r="625" spans="1:26" ht="12.5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3"/>
      <c r="Z625" s="3"/>
    </row>
    <row r="626" spans="1:26" ht="12.5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3"/>
      <c r="Z626" s="3"/>
    </row>
    <row r="627" spans="1:26" ht="12.5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3"/>
      <c r="Z627" s="3"/>
    </row>
    <row r="628" spans="1:26" ht="12.5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3"/>
      <c r="Z628" s="3"/>
    </row>
    <row r="629" spans="1:26" ht="12.5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3"/>
      <c r="Z629" s="3"/>
    </row>
    <row r="630" spans="1:26" ht="12.5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3"/>
      <c r="Z630" s="3"/>
    </row>
    <row r="631" spans="1:26" ht="12.5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3"/>
      <c r="Z631" s="3"/>
    </row>
    <row r="632" spans="1:26" ht="12.5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3"/>
      <c r="Z632" s="3"/>
    </row>
    <row r="633" spans="1:26" ht="12.5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3"/>
      <c r="Z633" s="3"/>
    </row>
    <row r="634" spans="1:26" ht="12.5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3"/>
      <c r="Z634" s="3"/>
    </row>
    <row r="635" spans="1:26" ht="12.5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3"/>
      <c r="Z635" s="3"/>
    </row>
    <row r="636" spans="1:26" ht="12.5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3"/>
      <c r="Z636" s="3"/>
    </row>
    <row r="637" spans="1:26" ht="12.5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3"/>
      <c r="Z637" s="3"/>
    </row>
    <row r="638" spans="1:26" ht="12.5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3"/>
      <c r="Z638" s="3"/>
    </row>
    <row r="639" spans="1:26" ht="12.5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3"/>
      <c r="Z639" s="3"/>
    </row>
    <row r="640" spans="1:26" ht="12.5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3"/>
      <c r="Z640" s="3"/>
    </row>
    <row r="641" spans="1:26" ht="12.5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3"/>
      <c r="Z641" s="3"/>
    </row>
    <row r="642" spans="1:26" ht="12.5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3"/>
      <c r="Z642" s="3"/>
    </row>
    <row r="643" spans="1:26" ht="12.5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3"/>
      <c r="Z643" s="3"/>
    </row>
    <row r="644" spans="1:26" ht="12.5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3"/>
      <c r="Z644" s="3"/>
    </row>
    <row r="645" spans="1:26" ht="12.5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3"/>
      <c r="Z645" s="3"/>
    </row>
    <row r="646" spans="1:26" ht="12.5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3"/>
      <c r="Z646" s="3"/>
    </row>
    <row r="647" spans="1:26" ht="12.5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3"/>
      <c r="Z647" s="3"/>
    </row>
    <row r="648" spans="1:26" ht="12.5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3"/>
      <c r="Z648" s="3"/>
    </row>
    <row r="649" spans="1:26" ht="12.5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3"/>
      <c r="Z649" s="3"/>
    </row>
    <row r="650" spans="1:26" ht="12.5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3"/>
      <c r="Z650" s="3"/>
    </row>
    <row r="651" spans="1:26" ht="12.5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3"/>
      <c r="Z651" s="3"/>
    </row>
    <row r="652" spans="1:26" ht="12.5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3"/>
      <c r="Z652" s="3"/>
    </row>
    <row r="653" spans="1:26" ht="12.5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3"/>
      <c r="Z653" s="3"/>
    </row>
    <row r="654" spans="1:26" ht="12.5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3"/>
      <c r="Z654" s="3"/>
    </row>
    <row r="655" spans="1:26" ht="12.5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3"/>
      <c r="Z655" s="3"/>
    </row>
    <row r="656" spans="1:26" ht="12.5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3"/>
      <c r="Z656" s="3"/>
    </row>
    <row r="657" spans="1:26" ht="12.5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3"/>
      <c r="Z657" s="3"/>
    </row>
    <row r="658" spans="1:26" ht="12.5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3"/>
      <c r="Z658" s="3"/>
    </row>
    <row r="659" spans="1:26" ht="12.5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3"/>
      <c r="Z659" s="3"/>
    </row>
    <row r="660" spans="1:26" ht="12.5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3"/>
      <c r="Z660" s="3"/>
    </row>
    <row r="661" spans="1:26" ht="12.5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3"/>
      <c r="Z661" s="3"/>
    </row>
    <row r="662" spans="1:26" ht="12.5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3"/>
      <c r="Z662" s="3"/>
    </row>
    <row r="663" spans="1:26" ht="12.5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3"/>
      <c r="Z663" s="3"/>
    </row>
    <row r="664" spans="1:26" ht="12.5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3"/>
      <c r="Z664" s="3"/>
    </row>
    <row r="665" spans="1:26" ht="12.5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3"/>
      <c r="Z665" s="3"/>
    </row>
    <row r="666" spans="1:26" ht="12.5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3"/>
      <c r="Z666" s="3"/>
    </row>
    <row r="667" spans="1:26" ht="12.5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3"/>
      <c r="Z667" s="3"/>
    </row>
    <row r="668" spans="1:26" ht="12.5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3"/>
      <c r="Z668" s="3"/>
    </row>
    <row r="669" spans="1:26" ht="12.5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3"/>
      <c r="Z669" s="3"/>
    </row>
    <row r="670" spans="1:26" ht="12.5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3"/>
      <c r="Z670" s="3"/>
    </row>
    <row r="671" spans="1:26" ht="12.5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3"/>
      <c r="Z671" s="3"/>
    </row>
    <row r="672" spans="1:26" ht="12.5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3"/>
      <c r="Z672" s="3"/>
    </row>
    <row r="673" spans="1:26" ht="12.5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3"/>
      <c r="Z673" s="3"/>
    </row>
    <row r="674" spans="1:26" ht="12.5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3"/>
      <c r="Z674" s="3"/>
    </row>
    <row r="675" spans="1:26" ht="12.5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3"/>
      <c r="Z675" s="3"/>
    </row>
    <row r="676" spans="1:26" ht="12.5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3"/>
      <c r="Z676" s="3"/>
    </row>
    <row r="677" spans="1:26" ht="12.5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3"/>
      <c r="Z677" s="3"/>
    </row>
    <row r="678" spans="1:26" ht="12.5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3"/>
      <c r="Z678" s="3"/>
    </row>
    <row r="679" spans="1:26" ht="12.5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3"/>
      <c r="Z679" s="3"/>
    </row>
    <row r="680" spans="1:26" ht="12.5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3"/>
      <c r="Z680" s="3"/>
    </row>
    <row r="681" spans="1:26" ht="12.5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3"/>
      <c r="Z681" s="3"/>
    </row>
    <row r="682" spans="1:26" ht="12.5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3"/>
      <c r="Z682" s="3"/>
    </row>
    <row r="683" spans="1:26" ht="12.5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3"/>
      <c r="Z683" s="3"/>
    </row>
    <row r="684" spans="1:26" ht="12.5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3"/>
      <c r="Z684" s="3"/>
    </row>
    <row r="685" spans="1:26" ht="12.5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3"/>
      <c r="Z685" s="3"/>
    </row>
    <row r="686" spans="1:26" ht="12.5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3"/>
      <c r="Z686" s="3"/>
    </row>
    <row r="687" spans="1:26" ht="12.5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3"/>
      <c r="Z687" s="3"/>
    </row>
    <row r="688" spans="1:26" ht="12.5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3"/>
      <c r="Z688" s="3"/>
    </row>
    <row r="689" spans="1:26" ht="12.5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3"/>
      <c r="Z689" s="3"/>
    </row>
    <row r="690" spans="1:26" ht="12.5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3"/>
      <c r="Z690" s="3"/>
    </row>
    <row r="691" spans="1:26" ht="12.5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3"/>
      <c r="Z691" s="3"/>
    </row>
    <row r="692" spans="1:26" ht="12.5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3"/>
      <c r="Z692" s="3"/>
    </row>
    <row r="693" spans="1:26" ht="12.5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3"/>
      <c r="Z693" s="3"/>
    </row>
    <row r="694" spans="1:26" ht="12.5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3"/>
      <c r="Z694" s="3"/>
    </row>
    <row r="695" spans="1:26" ht="12.5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3"/>
      <c r="Z695" s="3"/>
    </row>
    <row r="696" spans="1:26" ht="12.5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3"/>
      <c r="Z696" s="3"/>
    </row>
    <row r="697" spans="1:26" ht="12.5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3"/>
      <c r="Z697" s="3"/>
    </row>
    <row r="698" spans="1:26" ht="12.5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3"/>
      <c r="Z698" s="3"/>
    </row>
    <row r="699" spans="1:26" ht="12.5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3"/>
      <c r="Z699" s="3"/>
    </row>
    <row r="700" spans="1:26" ht="12.5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3"/>
      <c r="Z700" s="3"/>
    </row>
    <row r="701" spans="1:26" ht="12.5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3"/>
      <c r="Z701" s="3"/>
    </row>
    <row r="702" spans="1:26" ht="12.5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3"/>
      <c r="Z702" s="3"/>
    </row>
    <row r="703" spans="1:26" ht="12.5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3"/>
      <c r="Z703" s="3"/>
    </row>
    <row r="704" spans="1:26" ht="12.5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3"/>
      <c r="Z704" s="3"/>
    </row>
    <row r="705" spans="1:26" ht="12.5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3"/>
      <c r="Z705" s="3"/>
    </row>
    <row r="706" spans="1:26" ht="12.5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3"/>
      <c r="Z706" s="3"/>
    </row>
    <row r="707" spans="1:26" ht="12.5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3"/>
      <c r="Z707" s="3"/>
    </row>
    <row r="708" spans="1:26" ht="12.5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3"/>
      <c r="Z708" s="3"/>
    </row>
    <row r="709" spans="1:26" ht="12.5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3"/>
      <c r="Z709" s="3"/>
    </row>
    <row r="710" spans="1:26" ht="12.5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3"/>
      <c r="Z710" s="3"/>
    </row>
    <row r="711" spans="1:26" ht="12.5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3"/>
      <c r="Z711" s="3"/>
    </row>
    <row r="712" spans="1:26" ht="12.5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3"/>
      <c r="Z712" s="3"/>
    </row>
    <row r="713" spans="1:26" ht="12.5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3"/>
      <c r="Z713" s="3"/>
    </row>
    <row r="714" spans="1:26" ht="12.5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3"/>
      <c r="Z714" s="3"/>
    </row>
    <row r="715" spans="1:26" ht="12.5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3"/>
      <c r="Z715" s="3"/>
    </row>
    <row r="716" spans="1:26" ht="12.5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3"/>
      <c r="Z716" s="3"/>
    </row>
    <row r="717" spans="1:26" ht="12.5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3"/>
      <c r="Z717" s="3"/>
    </row>
    <row r="718" spans="1:26" ht="12.5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3"/>
      <c r="Z718" s="3"/>
    </row>
    <row r="719" spans="1:26" ht="12.5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3"/>
      <c r="Z719" s="3"/>
    </row>
    <row r="720" spans="1:26" ht="12.5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3"/>
      <c r="Z720" s="3"/>
    </row>
    <row r="721" spans="1:26" ht="12.5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3"/>
      <c r="Z721" s="3"/>
    </row>
    <row r="722" spans="1:26" ht="12.5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3"/>
      <c r="Z722" s="3"/>
    </row>
    <row r="723" spans="1:26" ht="12.5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3"/>
      <c r="Z723" s="3"/>
    </row>
    <row r="724" spans="1:26" ht="12.5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3"/>
      <c r="Z724" s="3"/>
    </row>
    <row r="725" spans="1:26" ht="12.5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3"/>
      <c r="Z725" s="3"/>
    </row>
    <row r="726" spans="1:26" ht="12.5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3"/>
      <c r="Z726" s="3"/>
    </row>
    <row r="727" spans="1:26" ht="12.5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3"/>
      <c r="Z727" s="3"/>
    </row>
    <row r="728" spans="1:26" ht="12.5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3"/>
      <c r="Z728" s="3"/>
    </row>
    <row r="729" spans="1:26" ht="12.5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3"/>
      <c r="Z729" s="3"/>
    </row>
    <row r="730" spans="1:26" ht="12.5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3"/>
      <c r="Z730" s="3"/>
    </row>
    <row r="731" spans="1:26" ht="12.5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3"/>
      <c r="Z731" s="3"/>
    </row>
    <row r="732" spans="1:26" ht="12.5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3"/>
      <c r="Z732" s="3"/>
    </row>
    <row r="733" spans="1:26" ht="12.5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3"/>
      <c r="Z733" s="3"/>
    </row>
    <row r="734" spans="1:26" ht="12.5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3"/>
      <c r="Z734" s="3"/>
    </row>
    <row r="735" spans="1:26" ht="12.5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3"/>
      <c r="Z735" s="3"/>
    </row>
    <row r="736" spans="1:26" ht="12.5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3"/>
      <c r="Z736" s="3"/>
    </row>
    <row r="737" spans="1:26" ht="12.5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3"/>
      <c r="Z737" s="3"/>
    </row>
    <row r="738" spans="1:26" ht="12.5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3"/>
      <c r="Z738" s="3"/>
    </row>
    <row r="739" spans="1:26" ht="12.5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3"/>
      <c r="Z739" s="3"/>
    </row>
    <row r="740" spans="1:26" ht="12.5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3"/>
      <c r="Z740" s="3"/>
    </row>
    <row r="741" spans="1:26" ht="12.5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3"/>
      <c r="Z741" s="3"/>
    </row>
    <row r="742" spans="1:26" ht="12.5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3"/>
      <c r="Z742" s="3"/>
    </row>
    <row r="743" spans="1:26" ht="12.5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3"/>
      <c r="Z743" s="3"/>
    </row>
    <row r="744" spans="1:26" ht="12.5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3"/>
      <c r="Z744" s="3"/>
    </row>
    <row r="745" spans="1:26" ht="12.5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3"/>
      <c r="Z745" s="3"/>
    </row>
    <row r="746" spans="1:26" ht="12.5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3"/>
      <c r="Z746" s="3"/>
    </row>
    <row r="747" spans="1:26" ht="12.5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3"/>
      <c r="Z747" s="3"/>
    </row>
    <row r="748" spans="1:26" ht="12.5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3"/>
      <c r="Z748" s="3"/>
    </row>
    <row r="749" spans="1:26" ht="12.5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3"/>
      <c r="Z749" s="3"/>
    </row>
    <row r="750" spans="1:26" ht="12.5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3"/>
      <c r="Z750" s="3"/>
    </row>
    <row r="751" spans="1:26" ht="12.5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3"/>
      <c r="Z751" s="3"/>
    </row>
    <row r="752" spans="1:26" ht="12.5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3"/>
      <c r="Z752" s="3"/>
    </row>
    <row r="753" spans="1:26" ht="12.5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3"/>
      <c r="Z753" s="3"/>
    </row>
    <row r="754" spans="1:26" ht="12.5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3"/>
      <c r="Z754" s="3"/>
    </row>
    <row r="755" spans="1:26" ht="12.5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3"/>
      <c r="Z755" s="3"/>
    </row>
    <row r="756" spans="1:26" ht="12.5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3"/>
      <c r="Z756" s="3"/>
    </row>
    <row r="757" spans="1:26" ht="12.5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3"/>
      <c r="Z757" s="3"/>
    </row>
    <row r="758" spans="1:26" ht="12.5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3"/>
      <c r="Z758" s="3"/>
    </row>
    <row r="759" spans="1:26" ht="12.5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3"/>
      <c r="Z759" s="3"/>
    </row>
    <row r="760" spans="1:26" ht="12.5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3"/>
      <c r="Z760" s="3"/>
    </row>
    <row r="761" spans="1:26" ht="12.5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3"/>
      <c r="Z761" s="3"/>
    </row>
    <row r="762" spans="1:26" ht="12.5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3"/>
      <c r="Z762" s="3"/>
    </row>
    <row r="763" spans="1:26" ht="12.5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3"/>
      <c r="Z763" s="3"/>
    </row>
    <row r="764" spans="1:26" ht="12.5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3"/>
      <c r="Z764" s="3"/>
    </row>
    <row r="765" spans="1:26" ht="12.5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3"/>
      <c r="Z765" s="3"/>
    </row>
    <row r="766" spans="1:26" ht="12.5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3"/>
      <c r="Z766" s="3"/>
    </row>
    <row r="767" spans="1:26" ht="12.5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3"/>
      <c r="Z767" s="3"/>
    </row>
    <row r="768" spans="1:26" ht="12.5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3"/>
      <c r="Z768" s="3"/>
    </row>
    <row r="769" spans="1:26" ht="12.5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3"/>
      <c r="Z769" s="3"/>
    </row>
    <row r="770" spans="1:26" ht="12.5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3"/>
      <c r="Z770" s="3"/>
    </row>
    <row r="771" spans="1:26" ht="12.5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3"/>
      <c r="Z771" s="3"/>
    </row>
    <row r="772" spans="1:26" ht="12.5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3"/>
      <c r="Z772" s="3"/>
    </row>
    <row r="773" spans="1:26" ht="12.5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3"/>
      <c r="Z773" s="3"/>
    </row>
    <row r="774" spans="1:26" ht="12.5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3"/>
      <c r="Z774" s="3"/>
    </row>
    <row r="775" spans="1:26" ht="12.5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3"/>
      <c r="Z775" s="3"/>
    </row>
    <row r="776" spans="1:26" ht="12.5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3"/>
      <c r="Z776" s="3"/>
    </row>
    <row r="777" spans="1:26" ht="12.5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3"/>
      <c r="Z777" s="3"/>
    </row>
    <row r="778" spans="1:26" ht="12.5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3"/>
      <c r="Z778" s="3"/>
    </row>
    <row r="779" spans="1:26" ht="12.5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3"/>
      <c r="Z779" s="3"/>
    </row>
    <row r="780" spans="1:26" ht="12.5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3"/>
      <c r="Z780" s="3"/>
    </row>
    <row r="781" spans="1:26" ht="12.5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3"/>
      <c r="Z781" s="3"/>
    </row>
    <row r="782" spans="1:26" ht="12.5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3"/>
      <c r="Z782" s="3"/>
    </row>
    <row r="783" spans="1:26" ht="12.5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3"/>
      <c r="Z783" s="3"/>
    </row>
    <row r="784" spans="1:26" ht="12.5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3"/>
      <c r="Z784" s="3"/>
    </row>
    <row r="785" spans="1:26" ht="12.5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3"/>
      <c r="Z785" s="3"/>
    </row>
    <row r="786" spans="1:26" ht="12.5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3"/>
      <c r="Z786" s="3"/>
    </row>
    <row r="787" spans="1:26" ht="12.5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3"/>
      <c r="Z787" s="3"/>
    </row>
    <row r="788" spans="1:26" ht="12.5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3"/>
      <c r="Z788" s="3"/>
    </row>
    <row r="789" spans="1:26" ht="12.5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3"/>
      <c r="Z789" s="3"/>
    </row>
    <row r="790" spans="1:26" ht="12.5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3"/>
      <c r="Z790" s="3"/>
    </row>
    <row r="791" spans="1:26" ht="12.5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3"/>
      <c r="Z791" s="3"/>
    </row>
    <row r="792" spans="1:26" ht="12.5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3"/>
      <c r="Z792" s="3"/>
    </row>
    <row r="793" spans="1:26" ht="12.5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3"/>
      <c r="Z793" s="3"/>
    </row>
    <row r="794" spans="1:26" ht="12.5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3"/>
      <c r="Z794" s="3"/>
    </row>
    <row r="795" spans="1:26" ht="12.5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3"/>
      <c r="Z795" s="3"/>
    </row>
    <row r="796" spans="1:26" ht="12.5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3"/>
      <c r="Z796" s="3"/>
    </row>
    <row r="797" spans="1:26" ht="12.5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3"/>
      <c r="Z797" s="3"/>
    </row>
    <row r="798" spans="1:26" ht="12.5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3"/>
      <c r="Z798" s="3"/>
    </row>
    <row r="799" spans="1:26" ht="12.5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3"/>
      <c r="Z799" s="3"/>
    </row>
    <row r="800" spans="1:26" ht="12.5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3"/>
      <c r="Z800" s="3"/>
    </row>
    <row r="801" spans="1:26" ht="12.5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3"/>
      <c r="Z801" s="3"/>
    </row>
    <row r="802" spans="1:26" ht="12.5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3"/>
      <c r="Z802" s="3"/>
    </row>
    <row r="803" spans="1:26" ht="12.5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3"/>
      <c r="Z803" s="3"/>
    </row>
    <row r="804" spans="1:26" ht="12.5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3"/>
      <c r="Z804" s="3"/>
    </row>
    <row r="805" spans="1:26" ht="12.5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3"/>
      <c r="Z805" s="3"/>
    </row>
    <row r="806" spans="1:26" ht="12.5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3"/>
      <c r="Z806" s="3"/>
    </row>
    <row r="807" spans="1:26" ht="12.5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3"/>
      <c r="Z807" s="3"/>
    </row>
    <row r="808" spans="1:26" ht="12.5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3"/>
      <c r="Z808" s="3"/>
    </row>
    <row r="809" spans="1:26" ht="12.5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3"/>
      <c r="Z809" s="3"/>
    </row>
    <row r="810" spans="1:26" ht="12.5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3"/>
      <c r="Z810" s="3"/>
    </row>
    <row r="811" spans="1:26" ht="12.5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3"/>
      <c r="Z811" s="3"/>
    </row>
    <row r="812" spans="1:26" ht="12.5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3"/>
      <c r="Z812" s="3"/>
    </row>
    <row r="813" spans="1:26" ht="12.5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3"/>
      <c r="Z813" s="3"/>
    </row>
    <row r="814" spans="1:26" ht="12.5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3"/>
      <c r="Z814" s="3"/>
    </row>
    <row r="815" spans="1:26" ht="12.5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3"/>
      <c r="Z815" s="3"/>
    </row>
    <row r="816" spans="1:26" ht="12.5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3"/>
      <c r="Z816" s="3"/>
    </row>
    <row r="817" spans="1:26" ht="12.5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3"/>
      <c r="Z817" s="3"/>
    </row>
    <row r="818" spans="1:26" ht="12.5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3"/>
      <c r="Z818" s="3"/>
    </row>
    <row r="819" spans="1:26" ht="12.5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3"/>
      <c r="Z819" s="3"/>
    </row>
    <row r="820" spans="1:26" ht="12.5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3"/>
      <c r="Z820" s="3"/>
    </row>
    <row r="821" spans="1:26" ht="12.5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3"/>
      <c r="Z821" s="3"/>
    </row>
    <row r="822" spans="1:26" ht="12.5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3"/>
      <c r="Z822" s="3"/>
    </row>
    <row r="823" spans="1:26" ht="12.5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3"/>
      <c r="Z823" s="3"/>
    </row>
    <row r="824" spans="1:26" ht="12.5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3"/>
      <c r="Z824" s="3"/>
    </row>
    <row r="825" spans="1:26" ht="12.5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3"/>
      <c r="Z825" s="3"/>
    </row>
    <row r="826" spans="1:26" ht="12.5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3"/>
      <c r="Z826" s="3"/>
    </row>
    <row r="827" spans="1:26" ht="12.5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3"/>
      <c r="Z827" s="3"/>
    </row>
    <row r="828" spans="1:26" ht="12.5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3"/>
      <c r="Z828" s="3"/>
    </row>
    <row r="829" spans="1:26" ht="12.5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3"/>
      <c r="Z829" s="3"/>
    </row>
    <row r="830" spans="1:26" ht="12.5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3"/>
      <c r="Z830" s="3"/>
    </row>
    <row r="831" spans="1:26" ht="12.5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3"/>
      <c r="Z831" s="3"/>
    </row>
    <row r="832" spans="1:26" ht="12.5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3"/>
      <c r="Z832" s="3"/>
    </row>
    <row r="833" spans="1:26" ht="12.5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3"/>
      <c r="Z833" s="3"/>
    </row>
    <row r="834" spans="1:26" ht="12.5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3"/>
      <c r="Z834" s="3"/>
    </row>
    <row r="835" spans="1:26" ht="12.5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3"/>
      <c r="Z835" s="3"/>
    </row>
    <row r="836" spans="1:26" ht="12.5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3"/>
      <c r="Z836" s="3"/>
    </row>
    <row r="837" spans="1:26" ht="12.5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3"/>
      <c r="Z837" s="3"/>
    </row>
    <row r="838" spans="1:26" ht="12.5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3"/>
      <c r="Z838" s="3"/>
    </row>
    <row r="839" spans="1:26" ht="12.5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3"/>
      <c r="Z839" s="3"/>
    </row>
    <row r="840" spans="1:26" ht="12.5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3"/>
      <c r="Z840" s="3"/>
    </row>
    <row r="841" spans="1:26" ht="12.5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3"/>
      <c r="Z841" s="3"/>
    </row>
    <row r="842" spans="1:26" ht="12.5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3"/>
      <c r="Z842" s="3"/>
    </row>
    <row r="843" spans="1:26" ht="12.5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3"/>
      <c r="Z843" s="3"/>
    </row>
    <row r="844" spans="1:26" ht="12.5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3"/>
      <c r="Z844" s="3"/>
    </row>
    <row r="845" spans="1:26" ht="12.5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3"/>
      <c r="Z845" s="3"/>
    </row>
    <row r="846" spans="1:26" ht="12.5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3"/>
      <c r="Z846" s="3"/>
    </row>
    <row r="847" spans="1:26" ht="12.5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3"/>
      <c r="Z847" s="3"/>
    </row>
    <row r="848" spans="1:26" ht="12.5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3"/>
      <c r="Z848" s="3"/>
    </row>
    <row r="849" spans="1:26" ht="12.5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3"/>
      <c r="Z849" s="3"/>
    </row>
    <row r="850" spans="1:26" ht="12.5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3"/>
      <c r="Z850" s="3"/>
    </row>
    <row r="851" spans="1:26" ht="12.5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3"/>
      <c r="Z851" s="3"/>
    </row>
    <row r="852" spans="1:26" ht="12.5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3"/>
      <c r="Z852" s="3"/>
    </row>
    <row r="853" spans="1:26" ht="12.5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3"/>
      <c r="Z853" s="3"/>
    </row>
    <row r="854" spans="1:26" ht="12.5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3"/>
      <c r="Z854" s="3"/>
    </row>
    <row r="855" spans="1:26" ht="12.5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3"/>
      <c r="Z855" s="3"/>
    </row>
    <row r="856" spans="1:26" ht="12.5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3"/>
      <c r="Z856" s="3"/>
    </row>
    <row r="857" spans="1:26" ht="12.5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3"/>
      <c r="Z857" s="3"/>
    </row>
    <row r="858" spans="1:26" ht="12.5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3"/>
      <c r="Z858" s="3"/>
    </row>
    <row r="859" spans="1:26" ht="12.5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3"/>
      <c r="Z859" s="3"/>
    </row>
    <row r="860" spans="1:26" ht="12.5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3"/>
      <c r="Z860" s="3"/>
    </row>
    <row r="861" spans="1:26" ht="12.5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3"/>
      <c r="Z861" s="3"/>
    </row>
    <row r="862" spans="1:26" ht="12.5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3"/>
      <c r="Z862" s="3"/>
    </row>
    <row r="863" spans="1:26" ht="12.5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3"/>
      <c r="Z863" s="3"/>
    </row>
    <row r="864" spans="1:26" ht="12.5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3"/>
      <c r="Z864" s="3"/>
    </row>
    <row r="865" spans="1:26" ht="12.5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3"/>
      <c r="Z865" s="3"/>
    </row>
    <row r="866" spans="1:26" ht="12.5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3"/>
      <c r="Z866" s="3"/>
    </row>
    <row r="867" spans="1:26" ht="12.5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3"/>
      <c r="Z867" s="3"/>
    </row>
    <row r="868" spans="1:26" ht="12.5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3"/>
      <c r="Z868" s="3"/>
    </row>
    <row r="869" spans="1:26" ht="12.5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3"/>
      <c r="Z869" s="3"/>
    </row>
    <row r="870" spans="1:26" ht="12.5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3"/>
      <c r="Z870" s="3"/>
    </row>
    <row r="871" spans="1:26" ht="12.5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3"/>
      <c r="Z871" s="3"/>
    </row>
    <row r="872" spans="1:26" ht="12.5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3"/>
      <c r="Z872" s="3"/>
    </row>
    <row r="873" spans="1:26" ht="12.5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3"/>
      <c r="Z873" s="3"/>
    </row>
    <row r="874" spans="1:26" ht="12.5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3"/>
      <c r="Z874" s="3"/>
    </row>
    <row r="875" spans="1:26" ht="12.5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3"/>
      <c r="Z875" s="3"/>
    </row>
    <row r="876" spans="1:26" ht="12.5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3"/>
      <c r="Z876" s="3"/>
    </row>
    <row r="877" spans="1:26" ht="12.5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3"/>
      <c r="Z877" s="3"/>
    </row>
    <row r="878" spans="1:26" ht="12.5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3"/>
      <c r="Z878" s="3"/>
    </row>
    <row r="879" spans="1:26" ht="12.5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3"/>
      <c r="Z879" s="3"/>
    </row>
    <row r="880" spans="1:26" ht="12.5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3"/>
      <c r="Z880" s="3"/>
    </row>
    <row r="881" spans="1:26" ht="12.5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3"/>
      <c r="Z881" s="3"/>
    </row>
    <row r="882" spans="1:26" ht="12.5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3"/>
      <c r="Z882" s="3"/>
    </row>
    <row r="883" spans="1:26" ht="12.5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3"/>
      <c r="Z883" s="3"/>
    </row>
    <row r="884" spans="1:26" ht="12.5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3"/>
      <c r="Z884" s="3"/>
    </row>
    <row r="885" spans="1:26" ht="12.5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3"/>
      <c r="Z885" s="3"/>
    </row>
    <row r="886" spans="1:26" ht="12.5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3"/>
      <c r="Z886" s="3"/>
    </row>
    <row r="887" spans="1:26" ht="12.5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3"/>
      <c r="Z887" s="3"/>
    </row>
    <row r="888" spans="1:26" ht="12.5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3"/>
      <c r="Z888" s="3"/>
    </row>
    <row r="889" spans="1:26" ht="12.5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3"/>
      <c r="Z889" s="3"/>
    </row>
    <row r="890" spans="1:26" ht="12.5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3"/>
      <c r="Z890" s="3"/>
    </row>
    <row r="891" spans="1:26" ht="12.5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3"/>
      <c r="Z891" s="3"/>
    </row>
    <row r="892" spans="1:26" ht="12.5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3"/>
      <c r="Z892" s="3"/>
    </row>
    <row r="893" spans="1:26" ht="12.5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3"/>
      <c r="Z893" s="3"/>
    </row>
    <row r="894" spans="1:26" ht="12.5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3"/>
      <c r="Z894" s="3"/>
    </row>
    <row r="895" spans="1:26" ht="12.5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3"/>
      <c r="Z895" s="3"/>
    </row>
    <row r="896" spans="1:26" ht="12.5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3"/>
      <c r="Z896" s="3"/>
    </row>
    <row r="897" spans="1:26" ht="12.5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3"/>
      <c r="Z897" s="3"/>
    </row>
    <row r="898" spans="1:26" ht="12.5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3"/>
      <c r="Z898" s="3"/>
    </row>
    <row r="899" spans="1:26" ht="12.5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3"/>
      <c r="Z899" s="3"/>
    </row>
    <row r="900" spans="1:26" ht="12.5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3"/>
      <c r="Z900" s="3"/>
    </row>
    <row r="901" spans="1:26" ht="12.5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3"/>
      <c r="Z901" s="3"/>
    </row>
    <row r="902" spans="1:26" ht="12.5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3"/>
      <c r="Z902" s="3"/>
    </row>
    <row r="903" spans="1:26" ht="12.5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3"/>
      <c r="Z903" s="3"/>
    </row>
    <row r="904" spans="1:26" ht="12.5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3"/>
      <c r="Z904" s="3"/>
    </row>
    <row r="905" spans="1:26" ht="12.5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3"/>
      <c r="Z905" s="3"/>
    </row>
    <row r="906" spans="1:26" ht="12.5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3"/>
      <c r="Z906" s="3"/>
    </row>
    <row r="907" spans="1:26" ht="12.5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3"/>
      <c r="Z907" s="3"/>
    </row>
    <row r="908" spans="1:26" ht="12.5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3"/>
      <c r="Z908" s="3"/>
    </row>
    <row r="909" spans="1:26" ht="12.5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3"/>
      <c r="Z909" s="3"/>
    </row>
    <row r="910" spans="1:26" ht="12.5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3"/>
      <c r="Z910" s="3"/>
    </row>
    <row r="911" spans="1:26" ht="12.5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3"/>
      <c r="Z911" s="3"/>
    </row>
    <row r="912" spans="1:26" ht="12.5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3"/>
      <c r="Z912" s="3"/>
    </row>
    <row r="913" spans="1:26" ht="12.5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3"/>
      <c r="Z913" s="3"/>
    </row>
    <row r="914" spans="1:26" ht="12.5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3"/>
      <c r="Z914" s="3"/>
    </row>
    <row r="915" spans="1:26" ht="12.5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3"/>
      <c r="Z915" s="3"/>
    </row>
    <row r="916" spans="1:26" ht="12.5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3"/>
      <c r="Z916" s="3"/>
    </row>
    <row r="917" spans="1:26" ht="12.5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3"/>
      <c r="Z917" s="3"/>
    </row>
    <row r="918" spans="1:26" ht="12.5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3"/>
      <c r="Z918" s="3"/>
    </row>
    <row r="919" spans="1:26" ht="12.5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3"/>
      <c r="Z919" s="3"/>
    </row>
    <row r="920" spans="1:26" ht="12.5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3"/>
      <c r="Z920" s="3"/>
    </row>
    <row r="921" spans="1:26" ht="12.5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3"/>
      <c r="Z921" s="3"/>
    </row>
    <row r="922" spans="1:26" ht="12.5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3"/>
      <c r="Z922" s="3"/>
    </row>
    <row r="923" spans="1:26" ht="12.5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3"/>
      <c r="Z923" s="3"/>
    </row>
    <row r="924" spans="1:26" ht="12.5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3"/>
      <c r="Z924" s="3"/>
    </row>
    <row r="925" spans="1:26" ht="12.5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3"/>
      <c r="Z925" s="3"/>
    </row>
    <row r="926" spans="1:26" ht="12.5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3"/>
      <c r="Z926" s="3"/>
    </row>
    <row r="927" spans="1:26" ht="12.5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3"/>
      <c r="Z927" s="3"/>
    </row>
    <row r="928" spans="1:26" ht="12.5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3"/>
      <c r="Z928" s="3"/>
    </row>
    <row r="929" spans="1:26" ht="12.5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3"/>
      <c r="Z929" s="3"/>
    </row>
    <row r="930" spans="1:26" ht="12.5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3"/>
      <c r="Z930" s="3"/>
    </row>
    <row r="931" spans="1:26" ht="12.5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3"/>
      <c r="Z931" s="3"/>
    </row>
    <row r="932" spans="1:26" ht="12.5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3"/>
      <c r="Z932" s="3"/>
    </row>
    <row r="933" spans="1:26" ht="12.5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3"/>
      <c r="Z933" s="3"/>
    </row>
    <row r="934" spans="1:26" ht="12.5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3"/>
      <c r="Z934" s="3"/>
    </row>
    <row r="935" spans="1:26" ht="12.5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3"/>
      <c r="Z935" s="3"/>
    </row>
    <row r="936" spans="1:26" ht="12.5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3"/>
      <c r="Z936" s="3"/>
    </row>
    <row r="937" spans="1:26" ht="12.5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3"/>
      <c r="Z937" s="3"/>
    </row>
    <row r="938" spans="1:26" ht="12.5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3"/>
      <c r="Z938" s="3"/>
    </row>
    <row r="939" spans="1:26" ht="12.5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3"/>
      <c r="Z939" s="3"/>
    </row>
    <row r="940" spans="1:26" ht="12.5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3"/>
      <c r="Z940" s="3"/>
    </row>
    <row r="941" spans="1:26" ht="12.5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3"/>
      <c r="Z941" s="3"/>
    </row>
    <row r="942" spans="1:26" ht="12.5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3"/>
      <c r="Z942" s="3"/>
    </row>
    <row r="943" spans="1:26" ht="12.5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3"/>
      <c r="Z943" s="3"/>
    </row>
    <row r="944" spans="1:26" ht="12.5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3"/>
      <c r="Z944" s="3"/>
    </row>
    <row r="945" spans="1:26" ht="12.5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3"/>
      <c r="Z945" s="3"/>
    </row>
    <row r="946" spans="1:26" ht="12.5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3"/>
      <c r="Z946" s="3"/>
    </row>
    <row r="947" spans="1:26" ht="12.5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3"/>
      <c r="Z947" s="3"/>
    </row>
    <row r="948" spans="1:26" ht="12.5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3"/>
      <c r="Z948" s="3"/>
    </row>
    <row r="949" spans="1:26" ht="12.5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3"/>
      <c r="Z949" s="3"/>
    </row>
    <row r="950" spans="1:26" ht="12.5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3"/>
      <c r="Z950" s="3"/>
    </row>
    <row r="951" spans="1:26" ht="12.5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3"/>
      <c r="Z951" s="3"/>
    </row>
    <row r="952" spans="1:26" ht="12.5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3"/>
      <c r="Z952" s="3"/>
    </row>
    <row r="953" spans="1:26" ht="12.5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3"/>
      <c r="Z953" s="3"/>
    </row>
    <row r="954" spans="1:26" ht="12.5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3"/>
      <c r="Z954" s="3"/>
    </row>
    <row r="955" spans="1:26" ht="12.5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3"/>
      <c r="Z955" s="3"/>
    </row>
    <row r="956" spans="1:26" ht="12.5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3"/>
      <c r="Z956" s="3"/>
    </row>
    <row r="957" spans="1:26" ht="12.5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3"/>
      <c r="Z957" s="3"/>
    </row>
    <row r="958" spans="1:26" ht="12.5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3"/>
      <c r="Z958" s="3"/>
    </row>
    <row r="959" spans="1:26" ht="12.5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3"/>
      <c r="Z959" s="3"/>
    </row>
    <row r="960" spans="1:26" ht="12.5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3"/>
      <c r="Z960" s="3"/>
    </row>
    <row r="961" spans="1:26" ht="12.5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3"/>
      <c r="Z961" s="3"/>
    </row>
    <row r="962" spans="1:26" ht="12.5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3"/>
      <c r="Z962" s="3"/>
    </row>
    <row r="963" spans="1:26" ht="12.5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3"/>
      <c r="Z963" s="3"/>
    </row>
    <row r="964" spans="1:26" ht="12.5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3"/>
      <c r="Z964" s="3"/>
    </row>
    <row r="965" spans="1:26" ht="12.5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3"/>
      <c r="Z965" s="3"/>
    </row>
    <row r="966" spans="1:26" ht="12.5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3"/>
      <c r="Z966" s="3"/>
    </row>
    <row r="967" spans="1:26" ht="12.5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3"/>
      <c r="Z967" s="3"/>
    </row>
    <row r="968" spans="1:26" ht="12.5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3"/>
      <c r="Z968" s="3"/>
    </row>
    <row r="969" spans="1:26" ht="12.5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3"/>
      <c r="Z969" s="3"/>
    </row>
    <row r="970" spans="1:26" ht="12.5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3"/>
      <c r="Z970" s="3"/>
    </row>
    <row r="971" spans="1:26" ht="12.5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3"/>
      <c r="Z971" s="3"/>
    </row>
    <row r="972" spans="1:26" ht="12.5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3"/>
      <c r="Z972" s="3"/>
    </row>
    <row r="973" spans="1:26" ht="12.5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3"/>
      <c r="Z973" s="3"/>
    </row>
    <row r="974" spans="1:26" ht="12.5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3"/>
      <c r="Z974" s="3"/>
    </row>
    <row r="975" spans="1:26" ht="12.5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3"/>
      <c r="Z975" s="3"/>
    </row>
    <row r="976" spans="1:26" ht="12.5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3"/>
      <c r="Z976" s="3"/>
    </row>
    <row r="977" spans="1:26" ht="12.5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3"/>
      <c r="Z977" s="3"/>
    </row>
    <row r="978" spans="1:26" ht="12.5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3"/>
      <c r="Z978" s="3"/>
    </row>
    <row r="979" spans="1:26" ht="12.5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3"/>
      <c r="Z979" s="3"/>
    </row>
    <row r="980" spans="1:26" ht="12.5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3"/>
      <c r="Z980" s="3"/>
    </row>
    <row r="981" spans="1:26" ht="12.5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3"/>
      <c r="Z981" s="3"/>
    </row>
    <row r="982" spans="1:26" ht="12.5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3"/>
      <c r="Z982" s="3"/>
    </row>
    <row r="983" spans="1:26" ht="12.5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3"/>
      <c r="Z983" s="3"/>
    </row>
    <row r="984" spans="1:26" ht="12.5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3"/>
      <c r="Z984" s="3"/>
    </row>
    <row r="985" spans="1:26" ht="12.5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3"/>
      <c r="Z985" s="3"/>
    </row>
    <row r="986" spans="1:26" ht="12.5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3"/>
      <c r="Z986" s="3"/>
    </row>
    <row r="987" spans="1:26" ht="12.5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3"/>
      <c r="Z987" s="3"/>
    </row>
    <row r="988" spans="1:26" ht="12.5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3"/>
      <c r="Z988" s="3"/>
    </row>
    <row r="989" spans="1:26" ht="12.5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3"/>
      <c r="Z989" s="3"/>
    </row>
    <row r="990" spans="1:26" ht="12.5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3"/>
      <c r="Z990" s="3"/>
    </row>
    <row r="991" spans="1:26" ht="12.5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3"/>
      <c r="Z991" s="3"/>
    </row>
    <row r="992" spans="1:26" ht="12.5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3"/>
      <c r="Z992" s="3"/>
    </row>
    <row r="993" spans="1:26" ht="12.5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3"/>
      <c r="Z993" s="3"/>
    </row>
    <row r="994" spans="1:26" ht="12.5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3"/>
      <c r="Z994" s="3"/>
    </row>
    <row r="995" spans="1:26" ht="12.5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3"/>
      <c r="Z995" s="3"/>
    </row>
    <row r="996" spans="1:26" ht="12.5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3"/>
      <c r="Z996" s="3"/>
    </row>
    <row r="997" spans="1:26" ht="12.5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3"/>
      <c r="Z997" s="3"/>
    </row>
    <row r="998" spans="1:26" ht="12.5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3"/>
      <c r="Z998" s="3"/>
    </row>
    <row r="999" spans="1:26" ht="12.5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3"/>
      <c r="Z999" s="3"/>
    </row>
    <row r="1000" spans="1:26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5"/>
  <sheetViews>
    <sheetView topLeftCell="A16" workbookViewId="0">
      <selection activeCell="H28" sqref="H28"/>
    </sheetView>
  </sheetViews>
  <sheetFormatPr defaultColWidth="12.6328125" defaultRowHeight="15.75" customHeight="1" x14ac:dyDescent="0.25"/>
  <cols>
    <col min="1" max="1" width="11.08984375" customWidth="1"/>
    <col min="3" max="3" width="14.26953125" customWidth="1"/>
  </cols>
  <sheetData>
    <row r="1" spans="1:6" x14ac:dyDescent="0.3">
      <c r="A1" s="11" t="s">
        <v>23</v>
      </c>
      <c r="B1" s="12">
        <v>0.1143</v>
      </c>
    </row>
    <row r="3" spans="1:6" x14ac:dyDescent="0.3">
      <c r="A3" s="13" t="s">
        <v>24</v>
      </c>
      <c r="B3" s="13" t="s">
        <v>25</v>
      </c>
      <c r="C3" s="13" t="s">
        <v>26</v>
      </c>
      <c r="D3" s="13" t="s">
        <v>27</v>
      </c>
      <c r="E3" s="13" t="s">
        <v>28</v>
      </c>
      <c r="F3" s="13" t="s">
        <v>18</v>
      </c>
    </row>
    <row r="4" spans="1:6" ht="15.75" customHeight="1" x14ac:dyDescent="0.25">
      <c r="A4" s="14">
        <v>0</v>
      </c>
      <c r="B4" s="14">
        <v>10000</v>
      </c>
      <c r="C4" s="14">
        <v>0</v>
      </c>
      <c r="D4" s="14">
        <v>0</v>
      </c>
      <c r="E4" s="14">
        <f t="shared" ref="E4:E34" si="0">D4+C4-B4</f>
        <v>-10000</v>
      </c>
      <c r="F4" s="14">
        <f>E4/POWER(1+$B$1,A4)</f>
        <v>-10000</v>
      </c>
    </row>
    <row r="5" spans="1:6" ht="15.75" customHeight="1" x14ac:dyDescent="0.25">
      <c r="A5" s="14">
        <v>1</v>
      </c>
      <c r="B5" s="14">
        <v>0</v>
      </c>
      <c r="C5" s="14">
        <v>2000</v>
      </c>
      <c r="D5" s="14">
        <v>0</v>
      </c>
      <c r="E5" s="14">
        <f t="shared" si="0"/>
        <v>2000</v>
      </c>
      <c r="F5" s="14">
        <f t="shared" ref="F5:F34" si="1">E5/POWER(1+$B$1,A5)</f>
        <v>1794.8487839899487</v>
      </c>
    </row>
    <row r="6" spans="1:6" ht="15.75" customHeight="1" x14ac:dyDescent="0.25">
      <c r="A6" s="14">
        <v>2</v>
      </c>
      <c r="B6" s="14">
        <v>0</v>
      </c>
      <c r="C6" s="14">
        <v>2000</v>
      </c>
      <c r="D6" s="14">
        <v>0</v>
      </c>
      <c r="E6" s="14">
        <f t="shared" si="0"/>
        <v>2000</v>
      </c>
      <c r="F6" s="14">
        <f t="shared" si="1"/>
        <v>1610.7410786950986</v>
      </c>
    </row>
    <row r="7" spans="1:6" ht="15.75" customHeight="1" x14ac:dyDescent="0.25">
      <c r="A7" s="14">
        <v>3</v>
      </c>
      <c r="B7" s="14">
        <v>0</v>
      </c>
      <c r="C7" s="14">
        <v>2000</v>
      </c>
      <c r="D7" s="14">
        <v>0</v>
      </c>
      <c r="E7" s="14">
        <f t="shared" si="0"/>
        <v>2000</v>
      </c>
      <c r="F7" s="14">
        <f t="shared" si="1"/>
        <v>1445.5183332092781</v>
      </c>
    </row>
    <row r="8" spans="1:6" ht="15.75" customHeight="1" x14ac:dyDescent="0.25">
      <c r="A8" s="14">
        <v>4</v>
      </c>
      <c r="B8" s="14">
        <v>0</v>
      </c>
      <c r="C8" s="14">
        <v>2000</v>
      </c>
      <c r="D8" s="14">
        <v>0</v>
      </c>
      <c r="E8" s="14">
        <f t="shared" si="0"/>
        <v>2000</v>
      </c>
      <c r="F8" s="14">
        <f t="shared" si="1"/>
        <v>1297.2434112979251</v>
      </c>
    </row>
    <row r="9" spans="1:6" ht="15.75" customHeight="1" x14ac:dyDescent="0.25">
      <c r="A9" s="14">
        <v>5</v>
      </c>
      <c r="B9" s="14">
        <v>0</v>
      </c>
      <c r="C9" s="14">
        <v>2000</v>
      </c>
      <c r="D9" s="14">
        <v>0</v>
      </c>
      <c r="E9" s="14">
        <f t="shared" si="0"/>
        <v>2000</v>
      </c>
      <c r="F9" s="14">
        <f t="shared" si="1"/>
        <v>1164.177879653527</v>
      </c>
    </row>
    <row r="10" spans="1:6" ht="15.75" customHeight="1" x14ac:dyDescent="0.25">
      <c r="A10" s="14">
        <v>6</v>
      </c>
      <c r="B10" s="14">
        <v>0</v>
      </c>
      <c r="C10" s="14">
        <v>2000</v>
      </c>
      <c r="D10" s="14">
        <v>0</v>
      </c>
      <c r="E10" s="14">
        <f t="shared" si="0"/>
        <v>2000</v>
      </c>
      <c r="F10" s="14">
        <f t="shared" si="1"/>
        <v>1044.7616258220646</v>
      </c>
    </row>
    <row r="11" spans="1:6" ht="15.75" customHeight="1" x14ac:dyDescent="0.25">
      <c r="A11" s="14">
        <v>7</v>
      </c>
      <c r="B11" s="14">
        <v>0</v>
      </c>
      <c r="C11" s="14">
        <v>2000</v>
      </c>
      <c r="D11" s="14">
        <v>0</v>
      </c>
      <c r="E11" s="14">
        <f t="shared" si="0"/>
        <v>2000</v>
      </c>
      <c r="F11" s="14">
        <f t="shared" si="1"/>
        <v>937.59456683304734</v>
      </c>
    </row>
    <row r="12" spans="1:6" ht="15.75" customHeight="1" x14ac:dyDescent="0.25">
      <c r="A12" s="14">
        <v>8</v>
      </c>
      <c r="B12" s="14">
        <v>0</v>
      </c>
      <c r="C12" s="14">
        <v>2000</v>
      </c>
      <c r="D12" s="14">
        <v>0</v>
      </c>
      <c r="E12" s="14">
        <f t="shared" si="0"/>
        <v>2000</v>
      </c>
      <c r="F12" s="14">
        <f t="shared" si="1"/>
        <v>841.42023407793874</v>
      </c>
    </row>
    <row r="13" spans="1:6" ht="15.75" customHeight="1" x14ac:dyDescent="0.25">
      <c r="A13" s="14">
        <v>9</v>
      </c>
      <c r="B13" s="14">
        <v>0</v>
      </c>
      <c r="C13" s="14">
        <v>2000</v>
      </c>
      <c r="D13" s="14">
        <v>0</v>
      </c>
      <c r="E13" s="14">
        <f t="shared" si="0"/>
        <v>2000</v>
      </c>
      <c r="F13" s="14">
        <f t="shared" si="1"/>
        <v>755.11104197966313</v>
      </c>
    </row>
    <row r="14" spans="1:6" ht="15.75" customHeight="1" x14ac:dyDescent="0.25">
      <c r="A14" s="14">
        <v>10</v>
      </c>
      <c r="B14" s="14">
        <v>10000</v>
      </c>
      <c r="C14" s="14">
        <v>2000</v>
      </c>
      <c r="D14" s="14">
        <v>3000</v>
      </c>
      <c r="E14" s="14">
        <f t="shared" si="0"/>
        <v>-5000</v>
      </c>
      <c r="F14" s="14">
        <f t="shared" si="1"/>
        <v>-1694.1376693432269</v>
      </c>
    </row>
    <row r="15" spans="1:6" ht="15.75" customHeight="1" x14ac:dyDescent="0.25">
      <c r="A15" s="14">
        <v>11</v>
      </c>
      <c r="B15" s="14">
        <v>0</v>
      </c>
      <c r="C15" s="14">
        <v>2000</v>
      </c>
      <c r="D15" s="14">
        <v>0</v>
      </c>
      <c r="E15" s="14">
        <f t="shared" si="0"/>
        <v>2000</v>
      </c>
      <c r="F15" s="14">
        <f t="shared" si="1"/>
        <v>608.14418714645137</v>
      </c>
    </row>
    <row r="16" spans="1:6" ht="15.75" customHeight="1" x14ac:dyDescent="0.25">
      <c r="A16" s="14">
        <v>12</v>
      </c>
      <c r="B16" s="14">
        <v>0</v>
      </c>
      <c r="C16" s="14">
        <v>2000</v>
      </c>
      <c r="D16" s="14">
        <v>0</v>
      </c>
      <c r="E16" s="14">
        <f t="shared" si="0"/>
        <v>2000</v>
      </c>
      <c r="F16" s="14">
        <f t="shared" si="1"/>
        <v>545.76342739518202</v>
      </c>
    </row>
    <row r="17" spans="1:6" ht="15.75" customHeight="1" x14ac:dyDescent="0.25">
      <c r="A17" s="14">
        <v>13</v>
      </c>
      <c r="B17" s="14">
        <v>0</v>
      </c>
      <c r="C17" s="14">
        <v>2000</v>
      </c>
      <c r="D17" s="14">
        <v>0</v>
      </c>
      <c r="E17" s="14">
        <f t="shared" si="0"/>
        <v>2000</v>
      </c>
      <c r="F17" s="14">
        <f t="shared" si="1"/>
        <v>489.78141200321448</v>
      </c>
    </row>
    <row r="18" spans="1:6" ht="15.75" customHeight="1" x14ac:dyDescent="0.25">
      <c r="A18" s="14">
        <v>14</v>
      </c>
      <c r="B18" s="14">
        <v>0</v>
      </c>
      <c r="C18" s="14">
        <v>2000</v>
      </c>
      <c r="D18" s="14">
        <v>0</v>
      </c>
      <c r="E18" s="14">
        <f t="shared" si="0"/>
        <v>2000</v>
      </c>
      <c r="F18" s="14">
        <f t="shared" si="1"/>
        <v>439.54178587742479</v>
      </c>
    </row>
    <row r="19" spans="1:6" ht="15.75" customHeight="1" x14ac:dyDescent="0.25">
      <c r="A19" s="14">
        <v>15</v>
      </c>
      <c r="B19" s="14">
        <v>0</v>
      </c>
      <c r="C19" s="14">
        <v>2000</v>
      </c>
      <c r="D19" s="14">
        <v>0</v>
      </c>
      <c r="E19" s="14">
        <f t="shared" si="0"/>
        <v>2000</v>
      </c>
      <c r="F19" s="14">
        <f t="shared" si="1"/>
        <v>394.45551994743312</v>
      </c>
    </row>
    <row r="20" spans="1:6" ht="12.5" x14ac:dyDescent="0.25">
      <c r="A20" s="14">
        <v>16</v>
      </c>
      <c r="B20" s="14">
        <v>0</v>
      </c>
      <c r="C20" s="14">
        <v>2000</v>
      </c>
      <c r="D20" s="14">
        <v>0</v>
      </c>
      <c r="E20" s="14">
        <f t="shared" si="0"/>
        <v>2000</v>
      </c>
      <c r="F20" s="14">
        <f t="shared" si="1"/>
        <v>353.99400515788665</v>
      </c>
    </row>
    <row r="21" spans="1:6" ht="12.5" x14ac:dyDescent="0.25">
      <c r="A21" s="14">
        <v>17</v>
      </c>
      <c r="B21" s="14">
        <v>0</v>
      </c>
      <c r="C21" s="14">
        <v>2000</v>
      </c>
      <c r="D21" s="14">
        <v>0</v>
      </c>
      <c r="E21" s="14">
        <f t="shared" si="0"/>
        <v>2000</v>
      </c>
      <c r="F21" s="14">
        <f t="shared" si="1"/>
        <v>317.68285484868221</v>
      </c>
    </row>
    <row r="22" spans="1:6" ht="12.5" x14ac:dyDescent="0.25">
      <c r="A22" s="14">
        <v>18</v>
      </c>
      <c r="B22" s="14">
        <v>0</v>
      </c>
      <c r="C22" s="14">
        <v>2000</v>
      </c>
      <c r="D22" s="14">
        <v>0</v>
      </c>
      <c r="E22" s="14">
        <f t="shared" si="0"/>
        <v>2000</v>
      </c>
      <c r="F22" s="14">
        <f t="shared" si="1"/>
        <v>285.09634285980633</v>
      </c>
    </row>
    <row r="23" spans="1:6" ht="12.5" x14ac:dyDescent="0.25">
      <c r="A23" s="14">
        <v>19</v>
      </c>
      <c r="B23" s="14">
        <v>0</v>
      </c>
      <c r="C23" s="14">
        <v>2000</v>
      </c>
      <c r="D23" s="14">
        <v>0</v>
      </c>
      <c r="E23" s="14">
        <f t="shared" si="0"/>
        <v>2000</v>
      </c>
      <c r="F23" s="14">
        <f t="shared" si="1"/>
        <v>255.85241215095243</v>
      </c>
    </row>
    <row r="24" spans="1:6" ht="12.5" x14ac:dyDescent="0.25">
      <c r="A24" s="14">
        <v>20</v>
      </c>
      <c r="B24" s="14">
        <v>10000</v>
      </c>
      <c r="C24" s="14">
        <v>2000</v>
      </c>
      <c r="D24" s="14">
        <v>3000</v>
      </c>
      <c r="E24" s="14">
        <f t="shared" si="0"/>
        <v>-5000</v>
      </c>
      <c r="F24" s="14">
        <f t="shared" si="1"/>
        <v>-574.02048853754025</v>
      </c>
    </row>
    <row r="25" spans="1:6" ht="12.5" x14ac:dyDescent="0.25">
      <c r="A25" s="14">
        <v>21</v>
      </c>
      <c r="B25" s="14">
        <v>0</v>
      </c>
      <c r="C25" s="14">
        <v>2000</v>
      </c>
      <c r="D25" s="14">
        <v>0</v>
      </c>
      <c r="E25" s="14">
        <f t="shared" si="0"/>
        <v>2000</v>
      </c>
      <c r="F25" s="14">
        <f t="shared" si="1"/>
        <v>206.05599516738408</v>
      </c>
    </row>
    <row r="26" spans="1:6" ht="12.5" x14ac:dyDescent="0.25">
      <c r="A26" s="14">
        <v>22</v>
      </c>
      <c r="B26" s="14">
        <v>0</v>
      </c>
      <c r="C26" s="14">
        <v>2000</v>
      </c>
      <c r="D26" s="14">
        <v>0</v>
      </c>
      <c r="E26" s="14">
        <f t="shared" si="0"/>
        <v>2000</v>
      </c>
      <c r="F26" s="14">
        <f t="shared" si="1"/>
        <v>184.91967618000899</v>
      </c>
    </row>
    <row r="27" spans="1:6" ht="12.5" x14ac:dyDescent="0.25">
      <c r="A27" s="14">
        <v>23</v>
      </c>
      <c r="B27" s="14">
        <v>0</v>
      </c>
      <c r="C27" s="14">
        <v>2000</v>
      </c>
      <c r="D27" s="14">
        <v>0</v>
      </c>
      <c r="E27" s="14">
        <f t="shared" si="0"/>
        <v>2000</v>
      </c>
      <c r="F27" s="14">
        <f t="shared" si="1"/>
        <v>165.95142796375214</v>
      </c>
    </row>
    <row r="28" spans="1:6" ht="12.5" x14ac:dyDescent="0.25">
      <c r="A28" s="14">
        <v>24</v>
      </c>
      <c r="B28" s="14">
        <v>0</v>
      </c>
      <c r="C28" s="14">
        <v>2000</v>
      </c>
      <c r="D28" s="14">
        <v>0</v>
      </c>
      <c r="E28" s="14">
        <f t="shared" si="0"/>
        <v>2000</v>
      </c>
      <c r="F28" s="14">
        <f t="shared" si="1"/>
        <v>148.92885934106803</v>
      </c>
    </row>
    <row r="29" spans="1:6" ht="12.5" x14ac:dyDescent="0.25">
      <c r="A29" s="14">
        <v>25</v>
      </c>
      <c r="B29" s="14">
        <v>0</v>
      </c>
      <c r="C29" s="14">
        <v>2000</v>
      </c>
      <c r="D29" s="14">
        <v>0</v>
      </c>
      <c r="E29" s="14">
        <f t="shared" si="0"/>
        <v>2000</v>
      </c>
      <c r="F29" s="14">
        <f t="shared" si="1"/>
        <v>133.65239104466301</v>
      </c>
    </row>
    <row r="30" spans="1:6" ht="12.5" x14ac:dyDescent="0.25">
      <c r="A30" s="14">
        <v>26</v>
      </c>
      <c r="B30" s="14">
        <v>0</v>
      </c>
      <c r="C30" s="14">
        <v>2000</v>
      </c>
      <c r="D30" s="14">
        <v>0</v>
      </c>
      <c r="E30" s="14">
        <f t="shared" si="0"/>
        <v>2000</v>
      </c>
      <c r="F30" s="14">
        <f t="shared" si="1"/>
        <v>119.94291577193127</v>
      </c>
    </row>
    <row r="31" spans="1:6" ht="12.5" x14ac:dyDescent="0.25">
      <c r="A31" s="14">
        <v>27</v>
      </c>
      <c r="B31" s="14">
        <v>0</v>
      </c>
      <c r="C31" s="14">
        <v>2000</v>
      </c>
      <c r="D31" s="14">
        <v>0</v>
      </c>
      <c r="E31" s="14">
        <f t="shared" si="0"/>
        <v>2000</v>
      </c>
      <c r="F31" s="14">
        <f t="shared" si="1"/>
        <v>107.63969826072984</v>
      </c>
    </row>
    <row r="32" spans="1:6" ht="12.5" x14ac:dyDescent="0.25">
      <c r="A32" s="14">
        <v>28</v>
      </c>
      <c r="B32" s="14">
        <v>0</v>
      </c>
      <c r="C32" s="14">
        <v>2000</v>
      </c>
      <c r="D32" s="14">
        <v>0</v>
      </c>
      <c r="E32" s="14">
        <f t="shared" si="0"/>
        <v>2000</v>
      </c>
      <c r="F32" s="14">
        <f t="shared" si="1"/>
        <v>96.598490766157965</v>
      </c>
    </row>
    <row r="33" spans="1:6" ht="12.5" x14ac:dyDescent="0.25">
      <c r="A33" s="14">
        <v>29</v>
      </c>
      <c r="B33" s="14">
        <v>0</v>
      </c>
      <c r="C33" s="14">
        <v>2000</v>
      </c>
      <c r="D33" s="14">
        <v>0</v>
      </c>
      <c r="E33" s="14">
        <f t="shared" si="0"/>
        <v>2000</v>
      </c>
      <c r="F33" s="14">
        <f t="shared" si="1"/>
        <v>86.689841843451447</v>
      </c>
    </row>
    <row r="34" spans="1:6" ht="12.5" x14ac:dyDescent="0.25">
      <c r="A34" s="14">
        <v>30</v>
      </c>
      <c r="B34" s="14">
        <v>0</v>
      </c>
      <c r="C34" s="14">
        <v>2000</v>
      </c>
      <c r="D34" s="14">
        <v>3000</v>
      </c>
      <c r="E34" s="14">
        <f t="shared" si="0"/>
        <v>5000</v>
      </c>
      <c r="F34" s="14">
        <f t="shared" si="1"/>
        <v>194.49394652124977</v>
      </c>
    </row>
    <row r="35" spans="1:6" ht="13" x14ac:dyDescent="0.3">
      <c r="A35" s="15"/>
      <c r="B35" s="15"/>
      <c r="C35" s="15"/>
      <c r="D35" s="15"/>
      <c r="E35" s="13" t="s">
        <v>29</v>
      </c>
      <c r="F35" s="13">
        <f>SUM(F4:F34)</f>
        <v>3758.4439879251549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30"/>
  <sheetViews>
    <sheetView topLeftCell="C10" workbookViewId="0">
      <selection activeCell="N22" sqref="N22"/>
    </sheetView>
  </sheetViews>
  <sheetFormatPr defaultColWidth="12.6328125" defaultRowHeight="15.75" customHeight="1" x14ac:dyDescent="0.25"/>
  <cols>
    <col min="3" max="3" width="14.7265625" customWidth="1"/>
    <col min="5" max="5" width="13.6328125" customWidth="1"/>
    <col min="7" max="7" width="14.90625" customWidth="1"/>
    <col min="9" max="9" width="14.08984375" customWidth="1"/>
    <col min="11" max="11" width="14.6328125" customWidth="1"/>
    <col min="13" max="13" width="13.6328125" customWidth="1"/>
  </cols>
  <sheetData>
    <row r="1" spans="1:13" x14ac:dyDescent="0.3">
      <c r="A1" s="11" t="s">
        <v>30</v>
      </c>
      <c r="B1" s="12">
        <v>7.4899999999999994E-2</v>
      </c>
    </row>
    <row r="2" spans="1:13" x14ac:dyDescent="0.3">
      <c r="B2" s="18" t="s">
        <v>31</v>
      </c>
      <c r="C2" s="19"/>
      <c r="D2" s="19"/>
      <c r="E2" s="16"/>
      <c r="F2" s="18" t="s">
        <v>32</v>
      </c>
      <c r="G2" s="19"/>
      <c r="H2" s="19"/>
      <c r="I2" s="19"/>
      <c r="J2" s="18" t="s">
        <v>33</v>
      </c>
      <c r="K2" s="19"/>
      <c r="L2" s="19"/>
      <c r="M2" s="19"/>
    </row>
    <row r="3" spans="1:13" x14ac:dyDescent="0.3">
      <c r="A3" s="11" t="s">
        <v>24</v>
      </c>
      <c r="B3" s="11" t="s">
        <v>34</v>
      </c>
      <c r="C3" s="11" t="s">
        <v>35</v>
      </c>
      <c r="D3" s="11" t="s">
        <v>36</v>
      </c>
      <c r="E3" s="11" t="s">
        <v>37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34</v>
      </c>
      <c r="K3" s="11" t="s">
        <v>35</v>
      </c>
      <c r="L3" s="11" t="s">
        <v>36</v>
      </c>
      <c r="M3" s="11" t="s">
        <v>37</v>
      </c>
    </row>
    <row r="4" spans="1:13" ht="15.75" customHeight="1" x14ac:dyDescent="0.25">
      <c r="A4" s="12">
        <v>0</v>
      </c>
      <c r="B4" s="12">
        <v>10000000</v>
      </c>
      <c r="C4" s="12">
        <v>0</v>
      </c>
      <c r="D4" s="12">
        <f t="shared" ref="D4:D24" si="0">B4+C4</f>
        <v>10000000</v>
      </c>
      <c r="E4" s="12">
        <f>D4/POWER(1+$B$1,A4)</f>
        <v>10000000</v>
      </c>
      <c r="F4" s="12">
        <v>20000000</v>
      </c>
      <c r="G4" s="12">
        <v>0</v>
      </c>
      <c r="H4" s="12">
        <f t="shared" ref="H4:H24" si="1">F4+G4</f>
        <v>20000000</v>
      </c>
      <c r="I4" s="12">
        <f>H4/POWER(1+$B$1,A4)</f>
        <v>20000000</v>
      </c>
      <c r="J4" s="12">
        <v>10000000</v>
      </c>
      <c r="K4" s="12">
        <v>0</v>
      </c>
      <c r="L4" s="12">
        <f t="shared" ref="L4:L24" si="2">J4+K4</f>
        <v>10000000</v>
      </c>
      <c r="M4" s="12">
        <f>L4/POWER(1+$B$1,A4)</f>
        <v>10000000</v>
      </c>
    </row>
    <row r="5" spans="1:13" ht="15.75" customHeight="1" x14ac:dyDescent="0.25">
      <c r="A5" s="12">
        <v>1</v>
      </c>
      <c r="B5" s="12">
        <v>0</v>
      </c>
      <c r="C5" s="12">
        <v>2000000</v>
      </c>
      <c r="D5" s="12">
        <f t="shared" si="0"/>
        <v>2000000</v>
      </c>
      <c r="E5" s="12">
        <f t="shared" ref="E5:E25" si="3">D5/POWER(1+$B$1,A5)</f>
        <v>1860638.1989022235</v>
      </c>
      <c r="F5" s="12">
        <v>0</v>
      </c>
      <c r="G5" s="12">
        <v>400000</v>
      </c>
      <c r="H5" s="12">
        <f t="shared" si="1"/>
        <v>400000</v>
      </c>
      <c r="I5" s="12">
        <f t="shared" ref="I5:I24" si="4">H5/POWER(1+$B$1,A5)</f>
        <v>372127.63978044468</v>
      </c>
      <c r="J5" s="12">
        <v>0</v>
      </c>
      <c r="K5" s="12">
        <v>100000</v>
      </c>
      <c r="L5" s="12">
        <f t="shared" si="2"/>
        <v>100000</v>
      </c>
      <c r="M5" s="12">
        <f t="shared" ref="M5:M24" si="5">L5/POWER(1+$B$1,A5)</f>
        <v>93031.909945111169</v>
      </c>
    </row>
    <row r="6" spans="1:13" ht="15.75" customHeight="1" x14ac:dyDescent="0.25">
      <c r="A6" s="12">
        <v>2</v>
      </c>
      <c r="B6" s="12">
        <v>0</v>
      </c>
      <c r="C6" s="12">
        <v>2000000</v>
      </c>
      <c r="D6" s="12">
        <f t="shared" si="0"/>
        <v>2000000</v>
      </c>
      <c r="E6" s="12">
        <f t="shared" si="3"/>
        <v>1730987.2536070552</v>
      </c>
      <c r="F6" s="12">
        <v>0</v>
      </c>
      <c r="G6" s="12">
        <v>400000</v>
      </c>
      <c r="H6" s="12">
        <f t="shared" si="1"/>
        <v>400000</v>
      </c>
      <c r="I6" s="12">
        <f t="shared" si="4"/>
        <v>346197.45072141103</v>
      </c>
      <c r="J6" s="12">
        <v>0</v>
      </c>
      <c r="K6" s="12">
        <f t="shared" ref="K6:K24" si="6">K5+200000</f>
        <v>300000</v>
      </c>
      <c r="L6" s="12">
        <f t="shared" si="2"/>
        <v>300000</v>
      </c>
      <c r="M6" s="12">
        <f t="shared" si="5"/>
        <v>259648.08804105825</v>
      </c>
    </row>
    <row r="7" spans="1:13" ht="15.75" customHeight="1" x14ac:dyDescent="0.25">
      <c r="A7" s="12">
        <v>3</v>
      </c>
      <c r="B7" s="12">
        <v>0</v>
      </c>
      <c r="C7" s="12">
        <v>2000000</v>
      </c>
      <c r="D7" s="12">
        <f t="shared" si="0"/>
        <v>2000000</v>
      </c>
      <c r="E7" s="12">
        <f t="shared" si="3"/>
        <v>1610370.5029370687</v>
      </c>
      <c r="F7" s="12">
        <v>0</v>
      </c>
      <c r="G7" s="12">
        <v>400000</v>
      </c>
      <c r="H7" s="12">
        <f t="shared" si="1"/>
        <v>400000</v>
      </c>
      <c r="I7" s="12">
        <f t="shared" si="4"/>
        <v>322074.1005874137</v>
      </c>
      <c r="J7" s="12">
        <v>0</v>
      </c>
      <c r="K7" s="12">
        <f t="shared" si="6"/>
        <v>500000</v>
      </c>
      <c r="L7" s="12">
        <f t="shared" si="2"/>
        <v>500000</v>
      </c>
      <c r="M7" s="12">
        <f t="shared" si="5"/>
        <v>402592.62573426717</v>
      </c>
    </row>
    <row r="8" spans="1:13" ht="15.75" customHeight="1" x14ac:dyDescent="0.25">
      <c r="A8" s="12">
        <v>4</v>
      </c>
      <c r="B8" s="12">
        <v>0</v>
      </c>
      <c r="C8" s="12">
        <v>2000000</v>
      </c>
      <c r="D8" s="12">
        <f t="shared" si="0"/>
        <v>2000000</v>
      </c>
      <c r="E8" s="12">
        <f t="shared" si="3"/>
        <v>1498158.4360750476</v>
      </c>
      <c r="F8" s="12">
        <v>0</v>
      </c>
      <c r="G8" s="12">
        <v>400000</v>
      </c>
      <c r="H8" s="12">
        <f t="shared" si="1"/>
        <v>400000</v>
      </c>
      <c r="I8" s="12">
        <f t="shared" si="4"/>
        <v>299631.68721500953</v>
      </c>
      <c r="J8" s="12">
        <v>0</v>
      </c>
      <c r="K8" s="12">
        <f t="shared" si="6"/>
        <v>700000</v>
      </c>
      <c r="L8" s="12">
        <f t="shared" si="2"/>
        <v>700000</v>
      </c>
      <c r="M8" s="12">
        <f t="shared" si="5"/>
        <v>524355.45262626663</v>
      </c>
    </row>
    <row r="9" spans="1:13" ht="15.75" customHeight="1" x14ac:dyDescent="0.25">
      <c r="A9" s="12">
        <v>5</v>
      </c>
      <c r="B9" s="12">
        <v>0</v>
      </c>
      <c r="C9" s="12">
        <v>2000000</v>
      </c>
      <c r="D9" s="12">
        <f t="shared" si="0"/>
        <v>2000000</v>
      </c>
      <c r="E9" s="12">
        <f t="shared" si="3"/>
        <v>1393765.4070844243</v>
      </c>
      <c r="F9" s="12">
        <v>0</v>
      </c>
      <c r="G9" s="12">
        <v>400000</v>
      </c>
      <c r="H9" s="12">
        <f t="shared" si="1"/>
        <v>400000</v>
      </c>
      <c r="I9" s="12">
        <f t="shared" si="4"/>
        <v>278753.08141688484</v>
      </c>
      <c r="J9" s="12">
        <v>0</v>
      </c>
      <c r="K9" s="12">
        <f t="shared" si="6"/>
        <v>900000</v>
      </c>
      <c r="L9" s="12">
        <f t="shared" si="2"/>
        <v>900000</v>
      </c>
      <c r="M9" s="12">
        <f t="shared" si="5"/>
        <v>627194.43318799092</v>
      </c>
    </row>
    <row r="10" spans="1:13" ht="15.75" customHeight="1" x14ac:dyDescent="0.25">
      <c r="A10" s="12">
        <v>6</v>
      </c>
      <c r="B10" s="12">
        <v>0</v>
      </c>
      <c r="C10" s="12">
        <v>2000000</v>
      </c>
      <c r="D10" s="12">
        <f t="shared" si="0"/>
        <v>2000000</v>
      </c>
      <c r="E10" s="12">
        <f t="shared" si="3"/>
        <v>1296646.5783648938</v>
      </c>
      <c r="F10" s="12">
        <v>0</v>
      </c>
      <c r="G10" s="12">
        <v>400000</v>
      </c>
      <c r="H10" s="12">
        <f t="shared" si="1"/>
        <v>400000</v>
      </c>
      <c r="I10" s="12">
        <f t="shared" si="4"/>
        <v>259329.31567297876</v>
      </c>
      <c r="J10" s="12">
        <v>0</v>
      </c>
      <c r="K10" s="12">
        <f t="shared" si="6"/>
        <v>1100000</v>
      </c>
      <c r="L10" s="12">
        <f t="shared" si="2"/>
        <v>1100000</v>
      </c>
      <c r="M10" s="12">
        <f t="shared" si="5"/>
        <v>713155.61810069159</v>
      </c>
    </row>
    <row r="11" spans="1:13" ht="15.75" customHeight="1" x14ac:dyDescent="0.25">
      <c r="A11" s="12">
        <v>7</v>
      </c>
      <c r="B11" s="12">
        <v>0</v>
      </c>
      <c r="C11" s="12">
        <v>2000000</v>
      </c>
      <c r="D11" s="12">
        <f t="shared" si="0"/>
        <v>2000000</v>
      </c>
      <c r="E11" s="12">
        <f t="shared" si="3"/>
        <v>1206295.0770907933</v>
      </c>
      <c r="F11" s="12">
        <v>0</v>
      </c>
      <c r="G11" s="12">
        <v>400000</v>
      </c>
      <c r="H11" s="12">
        <f t="shared" si="1"/>
        <v>400000</v>
      </c>
      <c r="I11" s="12">
        <f t="shared" si="4"/>
        <v>241259.01541815867</v>
      </c>
      <c r="J11" s="12">
        <v>0</v>
      </c>
      <c r="K11" s="12">
        <f t="shared" si="6"/>
        <v>1300000</v>
      </c>
      <c r="L11" s="12">
        <f t="shared" si="2"/>
        <v>1300000</v>
      </c>
      <c r="M11" s="12">
        <f t="shared" si="5"/>
        <v>784091.80010901566</v>
      </c>
    </row>
    <row r="12" spans="1:13" ht="15.75" customHeight="1" x14ac:dyDescent="0.25">
      <c r="A12" s="12">
        <v>8</v>
      </c>
      <c r="B12" s="12">
        <v>0</v>
      </c>
      <c r="C12" s="12">
        <v>2000000</v>
      </c>
      <c r="D12" s="12">
        <f t="shared" si="0"/>
        <v>2000000</v>
      </c>
      <c r="E12" s="12">
        <f t="shared" si="3"/>
        <v>1122239.3497914162</v>
      </c>
      <c r="F12" s="12">
        <v>0</v>
      </c>
      <c r="G12" s="12">
        <v>400000</v>
      </c>
      <c r="H12" s="12">
        <f t="shared" si="1"/>
        <v>400000</v>
      </c>
      <c r="I12" s="12">
        <f t="shared" si="4"/>
        <v>224447.86995828323</v>
      </c>
      <c r="J12" s="12">
        <v>0</v>
      </c>
      <c r="K12" s="12">
        <f t="shared" si="6"/>
        <v>1500000</v>
      </c>
      <c r="L12" s="12">
        <f t="shared" si="2"/>
        <v>1500000</v>
      </c>
      <c r="M12" s="12">
        <f t="shared" si="5"/>
        <v>841679.51234356221</v>
      </c>
    </row>
    <row r="13" spans="1:13" ht="15.75" customHeight="1" x14ac:dyDescent="0.25">
      <c r="A13" s="12">
        <v>9</v>
      </c>
      <c r="B13" s="12">
        <v>0</v>
      </c>
      <c r="C13" s="12">
        <v>2000000</v>
      </c>
      <c r="D13" s="12">
        <f t="shared" si="0"/>
        <v>2000000</v>
      </c>
      <c r="E13" s="12">
        <f t="shared" si="3"/>
        <v>1044040.7012665515</v>
      </c>
      <c r="F13" s="12">
        <v>0</v>
      </c>
      <c r="G13" s="12">
        <v>400000</v>
      </c>
      <c r="H13" s="12">
        <f t="shared" si="1"/>
        <v>400000</v>
      </c>
      <c r="I13" s="12">
        <f t="shared" si="4"/>
        <v>208808.1402533103</v>
      </c>
      <c r="J13" s="12">
        <v>0</v>
      </c>
      <c r="K13" s="12">
        <f t="shared" si="6"/>
        <v>1700000</v>
      </c>
      <c r="L13" s="12">
        <f t="shared" si="2"/>
        <v>1700000</v>
      </c>
      <c r="M13" s="12">
        <f t="shared" si="5"/>
        <v>887434.59607656882</v>
      </c>
    </row>
    <row r="14" spans="1:13" ht="15.75" customHeight="1" x14ac:dyDescent="0.25">
      <c r="A14" s="12">
        <v>10</v>
      </c>
      <c r="B14" s="12">
        <v>0</v>
      </c>
      <c r="C14" s="12">
        <v>2000000</v>
      </c>
      <c r="D14" s="12">
        <f t="shared" si="0"/>
        <v>2000000</v>
      </c>
      <c r="E14" s="12">
        <f t="shared" si="3"/>
        <v>971291.0049926053</v>
      </c>
      <c r="F14" s="12">
        <v>0</v>
      </c>
      <c r="G14" s="12">
        <v>400000</v>
      </c>
      <c r="H14" s="12">
        <f t="shared" si="1"/>
        <v>400000</v>
      </c>
      <c r="I14" s="12">
        <f t="shared" si="4"/>
        <v>194258.20099852106</v>
      </c>
      <c r="J14" s="12">
        <v>0</v>
      </c>
      <c r="K14" s="12">
        <f t="shared" si="6"/>
        <v>1900000</v>
      </c>
      <c r="L14" s="12">
        <f t="shared" si="2"/>
        <v>1900000</v>
      </c>
      <c r="M14" s="12">
        <f t="shared" si="5"/>
        <v>922726.45474297507</v>
      </c>
    </row>
    <row r="15" spans="1:13" ht="15.75" customHeight="1" x14ac:dyDescent="0.25">
      <c r="A15" s="12">
        <v>11</v>
      </c>
      <c r="B15" s="12">
        <v>0</v>
      </c>
      <c r="C15" s="12">
        <v>2000000</v>
      </c>
      <c r="D15" s="12">
        <f t="shared" si="0"/>
        <v>2000000</v>
      </c>
      <c r="E15" s="12">
        <f t="shared" si="3"/>
        <v>903610.57306968595</v>
      </c>
      <c r="F15" s="12">
        <v>0</v>
      </c>
      <c r="G15" s="12">
        <v>400000</v>
      </c>
      <c r="H15" s="12">
        <f t="shared" si="1"/>
        <v>400000</v>
      </c>
      <c r="I15" s="12">
        <f t="shared" si="4"/>
        <v>180722.11461393718</v>
      </c>
      <c r="J15" s="12">
        <v>0</v>
      </c>
      <c r="K15" s="12">
        <f t="shared" si="6"/>
        <v>2100000</v>
      </c>
      <c r="L15" s="12">
        <f t="shared" si="2"/>
        <v>2100000</v>
      </c>
      <c r="M15" s="12">
        <f t="shared" si="5"/>
        <v>948791.10172317026</v>
      </c>
    </row>
    <row r="16" spans="1:13" ht="15.75" customHeight="1" x14ac:dyDescent="0.25">
      <c r="A16" s="12">
        <v>12</v>
      </c>
      <c r="B16" s="12">
        <v>0</v>
      </c>
      <c r="C16" s="12">
        <v>2000000</v>
      </c>
      <c r="D16" s="12">
        <f t="shared" si="0"/>
        <v>2000000</v>
      </c>
      <c r="E16" s="12">
        <f t="shared" si="3"/>
        <v>840646.17459269322</v>
      </c>
      <c r="F16" s="12">
        <v>0</v>
      </c>
      <c r="G16" s="12">
        <v>400000</v>
      </c>
      <c r="H16" s="12">
        <f t="shared" si="1"/>
        <v>400000</v>
      </c>
      <c r="I16" s="12">
        <f t="shared" si="4"/>
        <v>168129.23491853863</v>
      </c>
      <c r="J16" s="12">
        <v>0</v>
      </c>
      <c r="K16" s="12">
        <f t="shared" si="6"/>
        <v>2300000</v>
      </c>
      <c r="L16" s="12">
        <f t="shared" si="2"/>
        <v>2300000</v>
      </c>
      <c r="M16" s="12">
        <f t="shared" si="5"/>
        <v>966743.1007815972</v>
      </c>
    </row>
    <row r="17" spans="1:13" ht="15.75" customHeight="1" x14ac:dyDescent="0.25">
      <c r="A17" s="12">
        <v>13</v>
      </c>
      <c r="B17" s="12">
        <v>0</v>
      </c>
      <c r="C17" s="12">
        <v>2000000</v>
      </c>
      <c r="D17" s="12">
        <f t="shared" si="0"/>
        <v>2000000</v>
      </c>
      <c r="E17" s="12">
        <f t="shared" si="3"/>
        <v>782069.19210409641</v>
      </c>
      <c r="F17" s="12">
        <v>0</v>
      </c>
      <c r="G17" s="12">
        <v>400000</v>
      </c>
      <c r="H17" s="12">
        <f t="shared" si="1"/>
        <v>400000</v>
      </c>
      <c r="I17" s="12">
        <f t="shared" si="4"/>
        <v>156413.83842081929</v>
      </c>
      <c r="J17" s="12">
        <v>0</v>
      </c>
      <c r="K17" s="12">
        <f t="shared" si="6"/>
        <v>2500000</v>
      </c>
      <c r="L17" s="12">
        <f t="shared" si="2"/>
        <v>2500000</v>
      </c>
      <c r="M17" s="12">
        <f t="shared" si="5"/>
        <v>977586.49013012054</v>
      </c>
    </row>
    <row r="18" spans="1:13" ht="15.75" customHeight="1" x14ac:dyDescent="0.25">
      <c r="A18" s="12">
        <v>14</v>
      </c>
      <c r="B18" s="12">
        <v>0</v>
      </c>
      <c r="C18" s="12">
        <v>2000000</v>
      </c>
      <c r="D18" s="12">
        <f t="shared" si="0"/>
        <v>2000000</v>
      </c>
      <c r="E18" s="12">
        <f t="shared" si="3"/>
        <v>727573.90650674142</v>
      </c>
      <c r="F18" s="12">
        <v>0</v>
      </c>
      <c r="G18" s="12">
        <v>400000</v>
      </c>
      <c r="H18" s="12">
        <f t="shared" si="1"/>
        <v>400000</v>
      </c>
      <c r="I18" s="12">
        <f t="shared" si="4"/>
        <v>145514.7813013483</v>
      </c>
      <c r="J18" s="12">
        <v>0</v>
      </c>
      <c r="K18" s="12">
        <f t="shared" si="6"/>
        <v>2700000</v>
      </c>
      <c r="L18" s="12">
        <f t="shared" si="2"/>
        <v>2700000</v>
      </c>
      <c r="M18" s="12">
        <f t="shared" si="5"/>
        <v>982224.77378410101</v>
      </c>
    </row>
    <row r="19" spans="1:13" ht="15.75" customHeight="1" x14ac:dyDescent="0.25">
      <c r="A19" s="12">
        <v>15</v>
      </c>
      <c r="B19" s="12">
        <v>0</v>
      </c>
      <c r="C19" s="12">
        <v>2000000</v>
      </c>
      <c r="D19" s="12">
        <f t="shared" si="0"/>
        <v>2000000</v>
      </c>
      <c r="E19" s="12">
        <f t="shared" si="3"/>
        <v>676875.90148547909</v>
      </c>
      <c r="F19" s="12">
        <v>0</v>
      </c>
      <c r="G19" s="12">
        <v>400000</v>
      </c>
      <c r="H19" s="12">
        <f t="shared" si="1"/>
        <v>400000</v>
      </c>
      <c r="I19" s="12">
        <f t="shared" si="4"/>
        <v>135375.18029709582</v>
      </c>
      <c r="J19" s="12">
        <v>0</v>
      </c>
      <c r="K19" s="12">
        <f t="shared" si="6"/>
        <v>2900000</v>
      </c>
      <c r="L19" s="12">
        <f t="shared" si="2"/>
        <v>2900000</v>
      </c>
      <c r="M19" s="12">
        <f t="shared" si="5"/>
        <v>981470.05715394462</v>
      </c>
    </row>
    <row r="20" spans="1:13" ht="12.5" x14ac:dyDescent="0.25">
      <c r="A20" s="12">
        <v>16</v>
      </c>
      <c r="B20" s="12">
        <v>0</v>
      </c>
      <c r="C20" s="12">
        <v>2000000</v>
      </c>
      <c r="D20" s="12">
        <f t="shared" si="0"/>
        <v>2000000</v>
      </c>
      <c r="E20" s="12">
        <f t="shared" si="3"/>
        <v>629710.57911013032</v>
      </c>
      <c r="F20" s="12">
        <v>0</v>
      </c>
      <c r="G20" s="12">
        <v>400000</v>
      </c>
      <c r="H20" s="12">
        <f t="shared" si="1"/>
        <v>400000</v>
      </c>
      <c r="I20" s="12">
        <f t="shared" si="4"/>
        <v>125942.11582202607</v>
      </c>
      <c r="J20" s="12">
        <v>0</v>
      </c>
      <c r="K20" s="12">
        <f t="shared" si="6"/>
        <v>3100000</v>
      </c>
      <c r="L20" s="12">
        <f t="shared" si="2"/>
        <v>3100000</v>
      </c>
      <c r="M20" s="12">
        <f t="shared" si="5"/>
        <v>976051.39762070205</v>
      </c>
    </row>
    <row r="21" spans="1:13" ht="12.5" x14ac:dyDescent="0.25">
      <c r="A21" s="12">
        <v>17</v>
      </c>
      <c r="B21" s="12">
        <v>0</v>
      </c>
      <c r="C21" s="12">
        <v>2000000</v>
      </c>
      <c r="D21" s="12">
        <f t="shared" si="0"/>
        <v>2000000</v>
      </c>
      <c r="E21" s="12">
        <f t="shared" si="3"/>
        <v>585831.77887257456</v>
      </c>
      <c r="F21" s="12">
        <v>0</v>
      </c>
      <c r="G21" s="12">
        <v>400000</v>
      </c>
      <c r="H21" s="12">
        <f t="shared" si="1"/>
        <v>400000</v>
      </c>
      <c r="I21" s="12">
        <f t="shared" si="4"/>
        <v>117166.3557745149</v>
      </c>
      <c r="J21" s="12">
        <v>0</v>
      </c>
      <c r="K21" s="12">
        <f t="shared" si="6"/>
        <v>3300000</v>
      </c>
      <c r="L21" s="12">
        <f t="shared" si="2"/>
        <v>3300000</v>
      </c>
      <c r="M21" s="12">
        <f t="shared" si="5"/>
        <v>966622.43513974792</v>
      </c>
    </row>
    <row r="22" spans="1:13" ht="12.5" x14ac:dyDescent="0.25">
      <c r="A22" s="12">
        <v>18</v>
      </c>
      <c r="B22" s="12">
        <v>0</v>
      </c>
      <c r="C22" s="12">
        <v>2000000</v>
      </c>
      <c r="D22" s="12">
        <f t="shared" si="0"/>
        <v>2000000</v>
      </c>
      <c r="E22" s="12">
        <f t="shared" si="3"/>
        <v>545010.49295057636</v>
      </c>
      <c r="F22" s="12">
        <v>0</v>
      </c>
      <c r="G22" s="12">
        <v>400000</v>
      </c>
      <c r="H22" s="12">
        <f t="shared" si="1"/>
        <v>400000</v>
      </c>
      <c r="I22" s="12">
        <f t="shared" si="4"/>
        <v>109002.09859011526</v>
      </c>
      <c r="J22" s="12">
        <v>0</v>
      </c>
      <c r="K22" s="12">
        <f t="shared" si="6"/>
        <v>3500000</v>
      </c>
      <c r="L22" s="12">
        <f t="shared" si="2"/>
        <v>3500000</v>
      </c>
      <c r="M22" s="12">
        <f t="shared" si="5"/>
        <v>953768.36266350851</v>
      </c>
    </row>
    <row r="23" spans="1:13" ht="12.5" x14ac:dyDescent="0.25">
      <c r="A23" s="12">
        <v>19</v>
      </c>
      <c r="B23" s="12">
        <v>0</v>
      </c>
      <c r="C23" s="12">
        <v>2000000</v>
      </c>
      <c r="D23" s="12">
        <f t="shared" si="0"/>
        <v>2000000</v>
      </c>
      <c r="E23" s="12">
        <f t="shared" si="3"/>
        <v>507033.67099318665</v>
      </c>
      <c r="F23" s="12">
        <v>0</v>
      </c>
      <c r="G23" s="12">
        <v>400000</v>
      </c>
      <c r="H23" s="12">
        <f t="shared" si="1"/>
        <v>400000</v>
      </c>
      <c r="I23" s="12">
        <f t="shared" si="4"/>
        <v>101406.73419863734</v>
      </c>
      <c r="J23" s="12">
        <v>0</v>
      </c>
      <c r="K23" s="12">
        <f t="shared" si="6"/>
        <v>3700000</v>
      </c>
      <c r="L23" s="12">
        <f t="shared" si="2"/>
        <v>3700000</v>
      </c>
      <c r="M23" s="12">
        <f t="shared" si="5"/>
        <v>938012.29133739532</v>
      </c>
    </row>
    <row r="24" spans="1:13" ht="12.5" x14ac:dyDescent="0.25">
      <c r="A24" s="12">
        <v>20</v>
      </c>
      <c r="B24" s="12">
        <v>0</v>
      </c>
      <c r="C24" s="12">
        <v>2000000</v>
      </c>
      <c r="D24" s="12">
        <f t="shared" si="0"/>
        <v>2000000</v>
      </c>
      <c r="E24" s="12">
        <f t="shared" si="3"/>
        <v>471703.10818977264</v>
      </c>
      <c r="F24" s="12">
        <v>0</v>
      </c>
      <c r="G24" s="12">
        <v>400000</v>
      </c>
      <c r="H24" s="12">
        <f t="shared" si="1"/>
        <v>400000</v>
      </c>
      <c r="I24" s="12">
        <f t="shared" si="4"/>
        <v>94340.621637954537</v>
      </c>
      <c r="J24" s="12">
        <v>0</v>
      </c>
      <c r="K24" s="12">
        <f t="shared" si="6"/>
        <v>3900000</v>
      </c>
      <c r="L24" s="12">
        <f t="shared" si="2"/>
        <v>3900000</v>
      </c>
      <c r="M24" s="12">
        <f t="shared" si="5"/>
        <v>919821.06097005669</v>
      </c>
    </row>
    <row r="25" spans="1:13" ht="13" x14ac:dyDescent="0.3">
      <c r="D25" s="13" t="s">
        <v>38</v>
      </c>
      <c r="E25" s="12">
        <f>SUM(E4:E24)</f>
        <v>30404497.887987014</v>
      </c>
      <c r="H25" s="13" t="s">
        <v>38</v>
      </c>
      <c r="I25" s="13">
        <f>SUM(I4:I24)</f>
        <v>24080899.577597395</v>
      </c>
      <c r="L25" s="13" t="s">
        <v>38</v>
      </c>
      <c r="M25" s="13">
        <f>SUM(M4:M24)</f>
        <v>25667001.562211853</v>
      </c>
    </row>
    <row r="29" spans="1:13" ht="38" x14ac:dyDescent="0.3">
      <c r="E29" s="13" t="s">
        <v>39</v>
      </c>
      <c r="F29" s="17" t="s">
        <v>40</v>
      </c>
      <c r="G29" s="17" t="s">
        <v>41</v>
      </c>
    </row>
    <row r="30" spans="1:13" ht="38" x14ac:dyDescent="0.3">
      <c r="E30" s="13" t="s">
        <v>42</v>
      </c>
      <c r="F30" s="17" t="s">
        <v>43</v>
      </c>
      <c r="G30" s="17" t="s">
        <v>44</v>
      </c>
    </row>
  </sheetData>
  <mergeCells count="3">
    <mergeCell ref="B2:D2"/>
    <mergeCell ref="F2:I2"/>
    <mergeCell ref="J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Siwach</cp:lastModifiedBy>
  <dcterms:modified xsi:type="dcterms:W3CDTF">2024-02-01T10:10:12Z</dcterms:modified>
</cp:coreProperties>
</file>