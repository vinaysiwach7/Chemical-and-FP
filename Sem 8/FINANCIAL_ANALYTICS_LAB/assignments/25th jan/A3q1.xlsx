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hvi\Downloads\"/>
    </mc:Choice>
  </mc:AlternateContent>
  <xr:revisionPtr revIDLastSave="0" documentId="13_ncr:1_{1A41AC39-6469-4C1E-A341-DF398393C549}" xr6:coauthVersionLast="36" xr6:coauthVersionMax="36" xr10:uidLastSave="{00000000-0000-0000-0000-000000000000}"/>
  <bookViews>
    <workbookView xWindow="0" yWindow="0" windowWidth="28800" windowHeight="11565" xr2:uid="{8297B73D-DEE8-4175-B98C-9C4C34286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I29" i="1" l="1"/>
  <c r="I28" i="1"/>
  <c r="J28" i="1" s="1"/>
  <c r="J27" i="1"/>
  <c r="J35" i="1" s="1"/>
  <c r="D27" i="1"/>
  <c r="G27" i="1" s="1"/>
  <c r="I25" i="1"/>
  <c r="J25" i="1" s="1"/>
  <c r="I24" i="1"/>
  <c r="J24" i="1" s="1"/>
  <c r="H25" i="1"/>
  <c r="H26" i="1"/>
  <c r="H24" i="1"/>
  <c r="H23" i="1"/>
  <c r="I23" i="1"/>
  <c r="G23" i="1"/>
  <c r="G26" i="1"/>
  <c r="G25" i="1"/>
  <c r="G24" i="1"/>
  <c r="B23" i="1"/>
  <c r="G29" i="1"/>
  <c r="G28" i="1"/>
  <c r="J29" i="1"/>
  <c r="F24" i="1"/>
  <c r="F25" i="1"/>
  <c r="F23" i="1"/>
  <c r="D26" i="1"/>
  <c r="D25" i="1"/>
  <c r="D24" i="1"/>
  <c r="C27" i="1"/>
  <c r="C26" i="1"/>
  <c r="C25" i="1"/>
  <c r="C24" i="1"/>
  <c r="B27" i="1"/>
  <c r="B26" i="1"/>
  <c r="B25" i="1"/>
  <c r="B24" i="1"/>
  <c r="G4" i="1"/>
  <c r="G5" i="1"/>
  <c r="G6" i="1"/>
  <c r="G3" i="1"/>
  <c r="B6" i="1"/>
  <c r="F26" i="1" l="1"/>
  <c r="I26" i="1" s="1"/>
  <c r="J26" i="1" s="1"/>
  <c r="J32" i="1" s="1"/>
  <c r="H27" i="1"/>
  <c r="J23" i="1"/>
  <c r="J33" i="1"/>
</calcChain>
</file>

<file path=xl/sharedStrings.xml><?xml version="1.0" encoding="utf-8"?>
<sst xmlns="http://schemas.openxmlformats.org/spreadsheetml/2006/main" count="38" uniqueCount="37">
  <si>
    <t>Contract Size (tons/year)</t>
  </si>
  <si>
    <t>Contract Price (INR/ton)</t>
  </si>
  <si>
    <t>Sport Price (INR/ton)</t>
  </si>
  <si>
    <t>Variable Cost (INR/ton)</t>
  </si>
  <si>
    <t>Fixed Cost (INR/year)</t>
  </si>
  <si>
    <t>5% of Sales</t>
  </si>
  <si>
    <t>Net Working Capital Investment (per year)</t>
  </si>
  <si>
    <t xml:space="preserve">Tax Rate </t>
  </si>
  <si>
    <t xml:space="preserve">Required Return </t>
  </si>
  <si>
    <t>Charitable Expense Deduction (INR)</t>
  </si>
  <si>
    <t>Cost of Land Reclamation (INR)</t>
  </si>
  <si>
    <t xml:space="preserve">Given Information </t>
  </si>
  <si>
    <t>Cashflows in Each Year</t>
  </si>
  <si>
    <t>Price of Land purchased 10 years ago (INR)</t>
  </si>
  <si>
    <t>Price of Land Now (INR)</t>
  </si>
  <si>
    <t>Price to purchase Additional Equipment (INR)</t>
  </si>
  <si>
    <t>Salvage Value of equipment after 4 years (INR)</t>
  </si>
  <si>
    <t>Production</t>
  </si>
  <si>
    <t>Year 1</t>
  </si>
  <si>
    <t>Year 2</t>
  </si>
  <si>
    <t>Year 3</t>
  </si>
  <si>
    <t>Year 4</t>
  </si>
  <si>
    <t>Tons</t>
  </si>
  <si>
    <t xml:space="preserve">Excess Production </t>
  </si>
  <si>
    <t xml:space="preserve">Time </t>
  </si>
  <si>
    <t xml:space="preserve">Cost </t>
  </si>
  <si>
    <t xml:space="preserve">Revenues </t>
  </si>
  <si>
    <t>WC</t>
  </si>
  <si>
    <t>Benefits</t>
  </si>
  <si>
    <t>PV</t>
  </si>
  <si>
    <t>NPV</t>
  </si>
  <si>
    <t>IRR</t>
  </si>
  <si>
    <t>CF (before tax)</t>
  </si>
  <si>
    <t>CF (after tax)</t>
  </si>
  <si>
    <t>Cumulative Profit</t>
  </si>
  <si>
    <t>Profitbaility Index</t>
  </si>
  <si>
    <t>Payback Period ( In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</si>
</sst>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9" fontId="0" fillId="3" borderId="0" xfId="0" applyNumberFormat="1" applyFill="1" applyAlignment="1">
      <alignment horizontal="center" wrapText="1"/>
    </xf>
    <xf numFmtId="2" fontId="0" fillId="3" borderId="0" xfId="0" applyNumberForma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3462-B283-4381-B6FA-C20F84DB819A}">
  <dimension ref="A1:J35"/>
  <sheetViews>
    <sheetView tabSelected="1" topLeftCell="D15" zoomScale="157" workbookViewId="0">
      <selection activeCell="I27" sqref="I27"/>
    </sheetView>
  </sheetViews>
  <sheetFormatPr defaultRowHeight="15" x14ac:dyDescent="0.25"/>
  <cols>
    <col min="1" max="1" width="45.28515625" style="9" customWidth="1"/>
    <col min="2" max="2" width="24" style="9" customWidth="1"/>
    <col min="3" max="3" width="15.7109375" style="9" customWidth="1"/>
    <col min="4" max="4" width="20.42578125" style="9" customWidth="1"/>
    <col min="5" max="5" width="20.140625" style="9" customWidth="1"/>
    <col min="6" max="6" width="16.7109375" style="9" bestFit="1" customWidth="1"/>
    <col min="7" max="7" width="21.85546875" style="9" customWidth="1"/>
    <col min="8" max="8" width="19.42578125" style="9" customWidth="1"/>
    <col min="9" max="9" width="24.7109375" style="9" customWidth="1"/>
    <col min="10" max="10" width="18.42578125" style="9" bestFit="1" customWidth="1"/>
    <col min="11" max="12" width="9.140625" style="9"/>
    <col min="13" max="13" width="12.7109375" style="9" customWidth="1"/>
    <col min="14" max="14" width="11.85546875" style="9" bestFit="1" customWidth="1"/>
    <col min="15" max="16384" width="9.140625" style="9"/>
  </cols>
  <sheetData>
    <row r="1" spans="1:8" s="3" customFormat="1" ht="15" customHeight="1" x14ac:dyDescent="0.25">
      <c r="A1" s="1" t="s">
        <v>11</v>
      </c>
      <c r="B1" s="2"/>
      <c r="C1" s="2"/>
      <c r="D1" s="2"/>
      <c r="E1" s="2"/>
      <c r="F1" s="2"/>
      <c r="G1" s="2"/>
      <c r="H1" s="2"/>
    </row>
    <row r="2" spans="1:8" s="3" customFormat="1" ht="15" customHeight="1" x14ac:dyDescent="0.25">
      <c r="A2" s="4"/>
      <c r="B2" s="4"/>
      <c r="C2" s="2"/>
      <c r="D2" s="2"/>
      <c r="E2" s="2" t="s">
        <v>17</v>
      </c>
      <c r="F2" s="2" t="s">
        <v>22</v>
      </c>
      <c r="G2" s="3" t="s">
        <v>23</v>
      </c>
    </row>
    <row r="3" spans="1:8" s="3" customFormat="1" ht="15" customHeight="1" x14ac:dyDescent="0.25">
      <c r="A3" s="4" t="s">
        <v>13</v>
      </c>
      <c r="B3" s="5">
        <v>456000000</v>
      </c>
      <c r="C3" s="2"/>
      <c r="D3" s="2"/>
      <c r="E3" s="2" t="s">
        <v>18</v>
      </c>
      <c r="F3" s="2">
        <v>620000</v>
      </c>
      <c r="G3" s="3">
        <f>F3-$B$9</f>
        <v>120000</v>
      </c>
    </row>
    <row r="4" spans="1:8" s="3" customFormat="1" ht="15" customHeight="1" x14ac:dyDescent="0.25">
      <c r="A4" s="4" t="s">
        <v>14</v>
      </c>
      <c r="B4" s="5">
        <v>497000000</v>
      </c>
      <c r="C4" s="2"/>
      <c r="D4" s="2"/>
      <c r="E4" s="2" t="s">
        <v>19</v>
      </c>
      <c r="F4" s="2">
        <v>680000</v>
      </c>
      <c r="G4" s="3">
        <f>F4-$B$9</f>
        <v>180000</v>
      </c>
    </row>
    <row r="5" spans="1:8" s="3" customFormat="1" ht="15" customHeight="1" x14ac:dyDescent="0.25">
      <c r="A5" s="4" t="s">
        <v>15</v>
      </c>
      <c r="B5" s="5">
        <v>7972000000</v>
      </c>
      <c r="C5" s="2"/>
      <c r="D5" s="2"/>
      <c r="E5" s="2" t="s">
        <v>20</v>
      </c>
      <c r="F5" s="2">
        <v>730000</v>
      </c>
      <c r="G5" s="3">
        <f>F5-$B$9</f>
        <v>230000</v>
      </c>
    </row>
    <row r="6" spans="1:8" s="3" customFormat="1" ht="15" customHeight="1" x14ac:dyDescent="0.25">
      <c r="A6" s="6" t="s">
        <v>16</v>
      </c>
      <c r="B6" s="5">
        <f>0.6*B5</f>
        <v>4783200000</v>
      </c>
      <c r="C6" s="2"/>
      <c r="D6" s="2"/>
      <c r="E6" s="2" t="s">
        <v>21</v>
      </c>
      <c r="F6" s="2">
        <v>590000</v>
      </c>
      <c r="G6" s="3">
        <f>F6-$B$9</f>
        <v>90000</v>
      </c>
    </row>
    <row r="7" spans="1:8" s="3" customFormat="1" ht="15" customHeight="1" x14ac:dyDescent="0.25">
      <c r="A7" s="2"/>
      <c r="B7" s="2"/>
      <c r="C7" s="2"/>
      <c r="D7" s="2"/>
      <c r="E7" s="2"/>
      <c r="F7" s="2"/>
      <c r="G7" s="2"/>
      <c r="H7" s="2"/>
    </row>
    <row r="8" spans="1:8" s="3" customFormat="1" ht="15" customHeight="1" x14ac:dyDescent="0.25">
      <c r="A8" s="2"/>
      <c r="B8" s="2"/>
      <c r="C8" s="2"/>
      <c r="D8" s="2"/>
      <c r="E8" s="2"/>
      <c r="F8" s="2"/>
      <c r="G8" s="2"/>
      <c r="H8" s="2"/>
    </row>
    <row r="9" spans="1:8" s="3" customFormat="1" ht="15" customHeight="1" x14ac:dyDescent="0.25">
      <c r="A9" s="2" t="s">
        <v>0</v>
      </c>
      <c r="B9" s="2">
        <v>500000</v>
      </c>
      <c r="C9" s="2"/>
      <c r="D9" s="2"/>
      <c r="E9" s="2"/>
      <c r="F9" s="2"/>
      <c r="G9" s="2"/>
      <c r="H9" s="2"/>
    </row>
    <row r="10" spans="1:8" s="3" customFormat="1" ht="15" customHeight="1" x14ac:dyDescent="0.25">
      <c r="A10" s="2" t="s">
        <v>1</v>
      </c>
      <c r="B10" s="7">
        <v>7620</v>
      </c>
      <c r="C10" s="2"/>
      <c r="D10" s="2"/>
      <c r="E10" s="2"/>
      <c r="F10" s="2"/>
      <c r="G10" s="2"/>
      <c r="H10" s="2"/>
    </row>
    <row r="11" spans="1:8" s="3" customFormat="1" ht="15" customHeight="1" x14ac:dyDescent="0.25">
      <c r="A11" s="2" t="s">
        <v>2</v>
      </c>
      <c r="B11" s="7">
        <v>6870</v>
      </c>
      <c r="C11" s="2"/>
      <c r="D11" s="2"/>
      <c r="E11" s="2"/>
      <c r="F11" s="2"/>
      <c r="G11" s="2"/>
      <c r="H11" s="2"/>
    </row>
    <row r="12" spans="1:8" s="3" customFormat="1" ht="15" customHeight="1" x14ac:dyDescent="0.25">
      <c r="A12" s="2" t="s">
        <v>3</v>
      </c>
      <c r="B12" s="7">
        <v>3076</v>
      </c>
      <c r="C12" s="2"/>
      <c r="D12" s="2"/>
      <c r="E12" s="2"/>
      <c r="F12" s="2"/>
      <c r="G12" s="2"/>
      <c r="H12" s="2"/>
    </row>
    <row r="13" spans="1:8" s="3" customFormat="1" ht="15" customHeight="1" x14ac:dyDescent="0.25">
      <c r="A13" s="2" t="s">
        <v>4</v>
      </c>
      <c r="B13" s="7">
        <v>386000000</v>
      </c>
      <c r="C13" s="2"/>
      <c r="D13" s="2"/>
      <c r="E13" s="2"/>
      <c r="F13" s="2"/>
      <c r="G13" s="2"/>
      <c r="H13" s="2"/>
    </row>
    <row r="14" spans="1:8" s="3" customFormat="1" ht="15" customHeight="1" x14ac:dyDescent="0.25">
      <c r="A14" s="2" t="s">
        <v>6</v>
      </c>
      <c r="B14" s="2" t="s">
        <v>5</v>
      </c>
      <c r="C14" s="2"/>
      <c r="D14" s="2"/>
      <c r="E14" s="2"/>
      <c r="F14" s="2"/>
      <c r="G14" s="2"/>
      <c r="H14" s="2"/>
    </row>
    <row r="15" spans="1:8" s="3" customFormat="1" ht="15" customHeight="1" x14ac:dyDescent="0.25">
      <c r="A15" s="2" t="s">
        <v>10</v>
      </c>
      <c r="B15" s="7">
        <v>267</v>
      </c>
      <c r="C15" s="2"/>
      <c r="D15" s="2"/>
      <c r="E15" s="2"/>
      <c r="F15" s="2"/>
      <c r="G15" s="2"/>
      <c r="H15" s="2"/>
    </row>
    <row r="16" spans="1:8" s="3" customFormat="1" ht="15" customHeight="1" x14ac:dyDescent="0.25">
      <c r="A16" s="2" t="s">
        <v>9</v>
      </c>
      <c r="B16" s="7">
        <v>576</v>
      </c>
      <c r="C16" s="2"/>
      <c r="D16" s="2"/>
      <c r="E16" s="2"/>
      <c r="F16" s="2"/>
      <c r="G16" s="2"/>
      <c r="H16" s="2"/>
    </row>
    <row r="17" spans="1:10" s="3" customFormat="1" ht="15" customHeight="1" x14ac:dyDescent="0.25">
      <c r="A17" s="2" t="s">
        <v>7</v>
      </c>
      <c r="B17" s="8">
        <v>0.33</v>
      </c>
      <c r="C17" s="2"/>
      <c r="D17" s="2"/>
      <c r="E17" s="2"/>
      <c r="F17" s="2"/>
      <c r="G17" s="2"/>
      <c r="H17" s="2"/>
    </row>
    <row r="18" spans="1:10" s="3" customFormat="1" ht="15" customHeight="1" x14ac:dyDescent="0.25">
      <c r="A18" s="2" t="s">
        <v>8</v>
      </c>
      <c r="B18" s="8">
        <v>0.12</v>
      </c>
      <c r="C18" s="2"/>
      <c r="D18" s="2"/>
      <c r="E18" s="2"/>
      <c r="F18" s="2"/>
      <c r="G18" s="2"/>
      <c r="H18" s="2"/>
    </row>
    <row r="19" spans="1:10" ht="15" customHeight="1" x14ac:dyDescent="0.25"/>
    <row r="20" spans="1:10" ht="15" customHeight="1" x14ac:dyDescent="0.25">
      <c r="A20" s="10" t="s">
        <v>12</v>
      </c>
    </row>
    <row r="21" spans="1:10" ht="15" customHeight="1" x14ac:dyDescent="0.25"/>
    <row r="22" spans="1:10" x14ac:dyDescent="0.25">
      <c r="A22" s="9" t="s">
        <v>24</v>
      </c>
      <c r="B22" s="9" t="s">
        <v>25</v>
      </c>
      <c r="C22" s="9" t="s">
        <v>17</v>
      </c>
      <c r="D22" s="9" t="s">
        <v>26</v>
      </c>
      <c r="E22" s="9" t="s">
        <v>28</v>
      </c>
      <c r="F22" s="9" t="s">
        <v>27</v>
      </c>
      <c r="G22" s="9" t="s">
        <v>32</v>
      </c>
      <c r="H22" s="9" t="s">
        <v>34</v>
      </c>
      <c r="I22" s="9" t="s">
        <v>33</v>
      </c>
      <c r="J22" s="9" t="s">
        <v>29</v>
      </c>
    </row>
    <row r="23" spans="1:10" x14ac:dyDescent="0.25">
      <c r="A23" s="9">
        <v>0</v>
      </c>
      <c r="B23" s="11">
        <f>7972000000+497000000</f>
        <v>8469000000</v>
      </c>
      <c r="C23" s="11"/>
      <c r="D23" s="11"/>
      <c r="E23" s="11"/>
      <c r="F23" s="11">
        <f>(0.05*D24)</f>
        <v>231720000</v>
      </c>
      <c r="G23" s="11">
        <f>-B23-F23</f>
        <v>-8700720000</v>
      </c>
      <c r="H23" s="11">
        <f>-B23</f>
        <v>-8469000000</v>
      </c>
      <c r="I23" s="11">
        <f>G23</f>
        <v>-8700720000</v>
      </c>
      <c r="J23" s="11">
        <f>I23</f>
        <v>-8700720000</v>
      </c>
    </row>
    <row r="24" spans="1:10" x14ac:dyDescent="0.25">
      <c r="A24" s="9">
        <v>1</v>
      </c>
      <c r="B24" s="11">
        <f>(B12*F3)+B13</f>
        <v>2293120000</v>
      </c>
      <c r="C24" s="11">
        <f>F3</f>
        <v>620000</v>
      </c>
      <c r="D24" s="11">
        <f xml:space="preserve"> (B9*B10) + (C24-B9)*B11</f>
        <v>4634400000</v>
      </c>
      <c r="E24" s="11"/>
      <c r="F24" s="11">
        <f>(0.05*D25)</f>
        <v>252330000</v>
      </c>
      <c r="G24" s="11">
        <f>(D24-B24)</f>
        <v>2341280000</v>
      </c>
      <c r="H24" s="11">
        <f>D24-B24+H23</f>
        <v>-6127720000</v>
      </c>
      <c r="I24" s="11">
        <f>G24-(F24-F23)</f>
        <v>2320670000</v>
      </c>
      <c r="J24" s="11">
        <f>I24/(1+$B$18)</f>
        <v>2072026785.7142856</v>
      </c>
    </row>
    <row r="25" spans="1:10" x14ac:dyDescent="0.25">
      <c r="A25" s="9">
        <v>2</v>
      </c>
      <c r="B25" s="11">
        <f>(B12*F4)+B13</f>
        <v>2477680000</v>
      </c>
      <c r="C25" s="11">
        <f>F4</f>
        <v>680000</v>
      </c>
      <c r="D25" s="11">
        <f xml:space="preserve"> (B9*B10)+(C25-B9)*B11</f>
        <v>5046600000</v>
      </c>
      <c r="E25" s="11"/>
      <c r="F25" s="11">
        <f>(0.05*D26)</f>
        <v>269505000</v>
      </c>
      <c r="G25" s="11">
        <f>(D25-B25)</f>
        <v>2568920000</v>
      </c>
      <c r="H25" s="11">
        <f t="shared" ref="H25:H27" si="0">D25-B25+H24</f>
        <v>-3558800000</v>
      </c>
      <c r="I25" s="11">
        <f t="shared" ref="I25:I26" si="1">G25-(F25-F24)</f>
        <v>2551745000</v>
      </c>
      <c r="J25" s="11">
        <f>I25/((1+$B$18)^2)</f>
        <v>2034235491.0714283</v>
      </c>
    </row>
    <row r="26" spans="1:10" x14ac:dyDescent="0.25">
      <c r="A26" s="9">
        <v>3</v>
      </c>
      <c r="B26" s="11">
        <f>(B12*F5)+B13</f>
        <v>2631480000</v>
      </c>
      <c r="C26" s="11">
        <f>F5</f>
        <v>730000</v>
      </c>
      <c r="D26" s="11">
        <f>(B9*B10)+(C26-B9)*B11</f>
        <v>5390100000</v>
      </c>
      <c r="E26" s="11"/>
      <c r="F26" s="11">
        <f>(0.05*D27)</f>
        <v>460575000</v>
      </c>
      <c r="G26" s="11">
        <f>(D26-B26)</f>
        <v>2758620000</v>
      </c>
      <c r="H26" s="11">
        <f t="shared" si="0"/>
        <v>-800180000</v>
      </c>
      <c r="I26" s="11">
        <f t="shared" si="1"/>
        <v>2567550000</v>
      </c>
      <c r="J26" s="11">
        <f>I26/((1+$B$18)^3)</f>
        <v>1827531375.2733231</v>
      </c>
    </row>
    <row r="27" spans="1:10" x14ac:dyDescent="0.25">
      <c r="A27" s="9">
        <v>4</v>
      </c>
      <c r="B27" s="11">
        <f>(B12*F6)+B13</f>
        <v>2200840000</v>
      </c>
      <c r="C27" s="11">
        <f>F6</f>
        <v>590000</v>
      </c>
      <c r="D27" s="11">
        <f>(B9*B10)+(C27-B9)*B11 +B6</f>
        <v>9211500000</v>
      </c>
      <c r="E27" s="11"/>
      <c r="F27" s="11"/>
      <c r="G27" s="11">
        <f>(D27-B27)</f>
        <v>7010660000</v>
      </c>
      <c r="H27" s="11">
        <f t="shared" si="0"/>
        <v>6210480000</v>
      </c>
      <c r="I27" s="11">
        <f>G27-(0.33*H27)-(F27-F26)</f>
        <v>5421776600</v>
      </c>
      <c r="J27" s="11">
        <f>I27/((1+$B$18)^4)</f>
        <v>3445637046.3722792</v>
      </c>
    </row>
    <row r="28" spans="1:10" x14ac:dyDescent="0.25">
      <c r="A28" s="9">
        <v>5</v>
      </c>
      <c r="B28" s="11">
        <v>267000000</v>
      </c>
      <c r="C28" s="11"/>
      <c r="D28" s="11"/>
      <c r="E28" s="11"/>
      <c r="F28" s="11"/>
      <c r="G28" s="11">
        <f>-B28</f>
        <v>-267000000</v>
      </c>
      <c r="H28" s="11"/>
      <c r="I28" s="11">
        <f>G28</f>
        <v>-267000000</v>
      </c>
      <c r="J28" s="11">
        <f>I28/((1+$B$18)^5)</f>
        <v>-151502970.47686601</v>
      </c>
    </row>
    <row r="29" spans="1:10" x14ac:dyDescent="0.25">
      <c r="A29" s="9">
        <v>6</v>
      </c>
      <c r="B29" s="11"/>
      <c r="C29" s="11"/>
      <c r="D29" s="11"/>
      <c r="E29" s="11">
        <v>576000000</v>
      </c>
      <c r="F29" s="11"/>
      <c r="G29" s="11">
        <f>E29</f>
        <v>576000000</v>
      </c>
      <c r="H29" s="11"/>
      <c r="I29" s="11">
        <f>G29</f>
        <v>576000000</v>
      </c>
      <c r="J29" s="11">
        <f>I29/((1+$B$18)^6)</f>
        <v>291819525.79813671</v>
      </c>
    </row>
    <row r="32" spans="1:10" x14ac:dyDescent="0.25">
      <c r="I32" s="12" t="s">
        <v>30</v>
      </c>
      <c r="J32" s="13">
        <f>SUM(J23:J29)</f>
        <v>819027253.75258708</v>
      </c>
    </row>
    <row r="33" spans="9:10" x14ac:dyDescent="0.25">
      <c r="I33" s="12" t="s">
        <v>31</v>
      </c>
      <c r="J33" s="14">
        <f>IRR(I23:I29,1)</f>
        <v>0.15728917757784933</v>
      </c>
    </row>
    <row r="34" spans="9:10" x14ac:dyDescent="0.25">
      <c r="I34" s="12" t="s">
        <v>36</v>
      </c>
      <c r="J34" s="12">
        <v>4</v>
      </c>
    </row>
    <row r="35" spans="9:10" x14ac:dyDescent="0.25">
      <c r="I35" s="12" t="s">
        <v>35</v>
      </c>
      <c r="J35" s="15">
        <f>-SUM(J24:J29)/J23</f>
        <v>1.0941332733098625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</cp:lastModifiedBy>
  <dcterms:created xsi:type="dcterms:W3CDTF">2024-01-25T09:51:02Z</dcterms:created>
  <dcterms:modified xsi:type="dcterms:W3CDTF">2024-01-25T11:16:40Z</dcterms:modified>
</cp:coreProperties>
</file>