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  <sheet state="visible" name="Graphs" sheetId="2" r:id="rId5"/>
    <sheet state="visible" name="ONGC P&amp;L and Balance Sheet" sheetId="3" r:id="rId6"/>
    <sheet state="visible" name="BPCL P&amp;L and Balance Sheet" sheetId="4" r:id="rId7"/>
    <sheet state="visible" name="CIL P&amp;L and Balance Sheet" sheetId="5" r:id="rId8"/>
    <sheet state="visible" name="NTPC P&amp;L and Balance Sheet" sheetId="6" r:id="rId9"/>
    <sheet state="visible" name="IOCL P&amp;L and Balance Sheet" sheetId="7" r:id="rId10"/>
  </sheets>
  <definedNames/>
  <calcPr/>
</workbook>
</file>

<file path=xl/sharedStrings.xml><?xml version="1.0" encoding="utf-8"?>
<sst xmlns="http://schemas.openxmlformats.org/spreadsheetml/2006/main" count="888" uniqueCount="137">
  <si>
    <t>Current Ratio</t>
  </si>
  <si>
    <t>ONGC</t>
  </si>
  <si>
    <t xml:space="preserve">BPCL </t>
  </si>
  <si>
    <t>CIL</t>
  </si>
  <si>
    <t>NTPC</t>
  </si>
  <si>
    <t>IOCL</t>
  </si>
  <si>
    <t>Quick Ratio</t>
  </si>
  <si>
    <t>Mar '23</t>
  </si>
  <si>
    <t>Mar '22</t>
  </si>
  <si>
    <t>Mar '21</t>
  </si>
  <si>
    <t>Mar '20</t>
  </si>
  <si>
    <t>Mar '19</t>
  </si>
  <si>
    <t>Return on Assests</t>
  </si>
  <si>
    <t>Return on Equity</t>
  </si>
  <si>
    <t>Earning per share</t>
  </si>
  <si>
    <t>Price-Earning Ratio</t>
  </si>
  <si>
    <t>Profit Margin</t>
  </si>
  <si>
    <t>Total Assets Turnover</t>
  </si>
  <si>
    <t>Debt Ratio</t>
  </si>
  <si>
    <t xml:space="preserve">Debt to Equity </t>
  </si>
  <si>
    <t>Interest Coverage Ratio</t>
  </si>
  <si>
    <t>DuPont Analysis</t>
  </si>
  <si>
    <t>Oil and Natural Gas Corporation (ONGC)</t>
  </si>
  <si>
    <t>Financial Ratios</t>
  </si>
  <si>
    <t>Formula</t>
  </si>
  <si>
    <t>Profit &amp; Loss account</t>
  </si>
  <si>
    <t>-- in Rs. Cr. --</t>
  </si>
  <si>
    <t>Balance Sheet</t>
  </si>
  <si>
    <t>---- in Rs. Cr. ---</t>
  </si>
  <si>
    <t>Current Assets/Current Liabilities</t>
  </si>
  <si>
    <t>(Current Assets - Inventory)/Current Liabilities</t>
  </si>
  <si>
    <t>Total asset turnover</t>
  </si>
  <si>
    <t>Net Sales/Avg Total Assets</t>
  </si>
  <si>
    <t>12 mths</t>
  </si>
  <si>
    <t>Receivables Turnover</t>
  </si>
  <si>
    <t>Net Sales/Avg Accounts receivables</t>
  </si>
  <si>
    <t>Inventory turnover</t>
  </si>
  <si>
    <t>COGS/Avg Inventory</t>
  </si>
  <si>
    <t>Income</t>
  </si>
  <si>
    <t>Sources Of Funds</t>
  </si>
  <si>
    <t>Total Debt/Total Assets</t>
  </si>
  <si>
    <t>Sales Turnover</t>
  </si>
  <si>
    <t>Total Share Capital</t>
  </si>
  <si>
    <t>Debt to Equity Ratio</t>
  </si>
  <si>
    <t xml:space="preserve">Total Debt/Total share-holder equity </t>
  </si>
  <si>
    <t>Excise Duty</t>
  </si>
  <si>
    <t>Equity Share Capital</t>
  </si>
  <si>
    <t>Equity Multiplier</t>
  </si>
  <si>
    <t xml:space="preserve">Average total assets/ Average shareholder equity </t>
  </si>
  <si>
    <t>Net Sales</t>
  </si>
  <si>
    <t>Reserves</t>
  </si>
  <si>
    <t>Interest coverage</t>
  </si>
  <si>
    <t>EBIT/Intrest expenses</t>
  </si>
  <si>
    <t>Other Income</t>
  </si>
  <si>
    <t>Networth</t>
  </si>
  <si>
    <t>Net profit margin</t>
  </si>
  <si>
    <t>Net profit/ Sales</t>
  </si>
  <si>
    <t>Stock Adjustments</t>
  </si>
  <si>
    <t>Secured Loans</t>
  </si>
  <si>
    <t>Gross profit margin</t>
  </si>
  <si>
    <t>Gross Profit/ Sales</t>
  </si>
  <si>
    <t>Total Income</t>
  </si>
  <si>
    <t>Total Debt</t>
  </si>
  <si>
    <t>Net return on assets</t>
  </si>
  <si>
    <t xml:space="preserve">Net Income/ Average total assets </t>
  </si>
  <si>
    <t>Expenditure</t>
  </si>
  <si>
    <t>Total Liabilities</t>
  </si>
  <si>
    <t>Gross return on assets</t>
  </si>
  <si>
    <t>Gross Profit/Avg Total Assets</t>
  </si>
  <si>
    <t>Raw Materials</t>
  </si>
  <si>
    <t>Return on equity</t>
  </si>
  <si>
    <t>Net Income/Average total shareholders' equity</t>
  </si>
  <si>
    <t>Power &amp; Fuel Cost</t>
  </si>
  <si>
    <t>Payout ratio</t>
  </si>
  <si>
    <t>Total Dividends/Net Income</t>
  </si>
  <si>
    <t>Employee Cost</t>
  </si>
  <si>
    <t>Retention ratio</t>
  </si>
  <si>
    <t>(Net Income - Dividend)/Net Income</t>
  </si>
  <si>
    <t>Other Manufacturing Expenses</t>
  </si>
  <si>
    <t>P/E ratio</t>
  </si>
  <si>
    <t>Share Price/Earnings per share</t>
  </si>
  <si>
    <t>Miscellaneous Expenses</t>
  </si>
  <si>
    <t>Application Of Funds</t>
  </si>
  <si>
    <t>Dividend Yield</t>
  </si>
  <si>
    <t>DPS/price per share</t>
  </si>
  <si>
    <t>Total Expenses</t>
  </si>
  <si>
    <t>Gross Block</t>
  </si>
  <si>
    <t>Market to book value</t>
  </si>
  <si>
    <t>Market value of equity/Book value of equity</t>
  </si>
  <si>
    <t>Less: Accum. Depreciation</t>
  </si>
  <si>
    <t>Du pont analysis</t>
  </si>
  <si>
    <t>Asset Turnover x Net Profit Margin x Equity Multiplier</t>
  </si>
  <si>
    <t>Net Block</t>
  </si>
  <si>
    <t>Capital Work in Progress</t>
  </si>
  <si>
    <t>Investments</t>
  </si>
  <si>
    <t>Operating Profit</t>
  </si>
  <si>
    <t>Inventories</t>
  </si>
  <si>
    <t>PBDIT</t>
  </si>
  <si>
    <t>Sundry Debtors</t>
  </si>
  <si>
    <t>Interest</t>
  </si>
  <si>
    <t>Cash and Bank Balance</t>
  </si>
  <si>
    <t>PBDT</t>
  </si>
  <si>
    <t>Total Current Assets</t>
  </si>
  <si>
    <t>Depreciation</t>
  </si>
  <si>
    <t>Loans and Advances</t>
  </si>
  <si>
    <t>Profit Before Tax</t>
  </si>
  <si>
    <t>Total CA, Loans &amp; Advances</t>
  </si>
  <si>
    <t>PBT (Post Extra-ord Items)</t>
  </si>
  <si>
    <t>Current Liabilities</t>
  </si>
  <si>
    <t>Tax</t>
  </si>
  <si>
    <t>Provisions</t>
  </si>
  <si>
    <t>Reported Net Profit</t>
  </si>
  <si>
    <t>Total CL &amp; Provisions</t>
  </si>
  <si>
    <t>Total Value Addition</t>
  </si>
  <si>
    <t>Net Current Assets</t>
  </si>
  <si>
    <t>Equity Dividend</t>
  </si>
  <si>
    <t>Total Assets</t>
  </si>
  <si>
    <t>Corporate Dividend Tax</t>
  </si>
  <si>
    <t>Per share data (annualised)</t>
  </si>
  <si>
    <t>Contingent Liabilities</t>
  </si>
  <si>
    <t>Shares in issue (lakhs)</t>
  </si>
  <si>
    <t>Book Value (Rs)</t>
  </si>
  <si>
    <t>Earning Per Share (Rs)</t>
  </si>
  <si>
    <t>Equity Dividend (%)</t>
  </si>
  <si>
    <t>Share Price</t>
  </si>
  <si>
    <t>Bharat Petroleum Corporation Limited (BPCL)</t>
  </si>
  <si>
    <t>--- in Rs. Cr. ---</t>
  </si>
  <si>
    <t>Coal India Limited (CIL)</t>
  </si>
  <si>
    <t>-- in Rs. Cr. -</t>
  </si>
  <si>
    <t>Other Written Off</t>
  </si>
  <si>
    <t>National Thermal Power Corporation (NTPC)</t>
  </si>
  <si>
    <t>Selling and Admin Expenses</t>
  </si>
  <si>
    <t>share price</t>
  </si>
  <si>
    <t>Indian Oil Corporation Limited (IOCL)</t>
  </si>
  <si>
    <t>Standalone Profit &amp; Loss account</t>
  </si>
  <si>
    <t>------------------- in Rs. Cr. -------------------</t>
  </si>
  <si>
    <t>Standalone Balance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</si>
</sst>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2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sz val="15.0"/>
      <color theme="1"/>
      <name val="Arial"/>
    </font>
    <font/>
    <font>
      <b/>
      <sz val="11.0"/>
      <color theme="0"/>
      <name val="Arial"/>
      <scheme val="minor"/>
    </font>
    <font>
      <b/>
      <sz val="11.0"/>
      <color theme="0"/>
      <name val="Calibri"/>
    </font>
    <font>
      <color theme="0"/>
      <name val="Arial"/>
    </font>
    <font>
      <b/>
      <sz val="9.0"/>
      <color theme="0"/>
      <name val="Arial"/>
    </font>
    <font>
      <sz val="13.0"/>
      <color theme="1"/>
      <name val="Arial"/>
    </font>
    <font>
      <b/>
      <sz val="13.0"/>
      <color rgb="FF000000"/>
      <name val="Arial"/>
    </font>
    <font>
      <sz val="13.0"/>
      <color rgb="FF434343"/>
      <name val="Arial"/>
    </font>
    <font>
      <b/>
      <sz val="11.0"/>
      <color theme="1"/>
      <name val="Calibri"/>
    </font>
    <font>
      <b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color rgb="FF232A31"/>
      <name val="Arial"/>
    </font>
    <font>
      <b/>
      <sz val="17.0"/>
      <color theme="1"/>
      <name val="Arial"/>
    </font>
    <font>
      <b/>
      <sz val="12.0"/>
      <color theme="0"/>
      <name val="Arial"/>
      <scheme val="minor"/>
    </font>
    <font>
      <b/>
      <sz val="10.0"/>
      <color theme="0"/>
      <name val="Arial"/>
    </font>
    <font>
      <sz val="12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0"/>
      <name val="Arial"/>
    </font>
    <font>
      <b/>
      <sz val="20.0"/>
      <color rgb="FF000000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sz val="16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1155CC"/>
        <bgColor rgb="FF1155C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bottom style="thin">
        <color rgb="FFEEEEEE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3" fontId="2" numFmtId="164" xfId="0" applyBorder="1" applyFill="1" applyFont="1" applyNumberFormat="1"/>
    <xf borderId="1" fillId="3" fontId="3" numFmtId="164" xfId="0" applyBorder="1" applyFont="1" applyNumberFormat="1"/>
    <xf borderId="1" fillId="2" fontId="4" numFmtId="0" xfId="0" applyAlignment="1" applyBorder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1" numFmtId="0" xfId="0" applyBorder="1" applyFont="1"/>
    <xf borderId="0" fillId="4" fontId="3" numFmtId="0" xfId="0" applyFont="1"/>
    <xf borderId="1" fillId="4" fontId="2" numFmtId="164" xfId="0" applyBorder="1" applyFont="1" applyNumberFormat="1"/>
    <xf borderId="1" fillId="4" fontId="5" numFmtId="164" xfId="0" applyAlignment="1" applyBorder="1" applyFont="1" applyNumberFormat="1">
      <alignment horizontal="center" shrinkToFit="0" vertical="center" wrapText="1"/>
    </xf>
    <xf borderId="0" fillId="0" fontId="3" numFmtId="164" xfId="0" applyFont="1" applyNumberFormat="1"/>
    <xf borderId="0" fillId="0" fontId="5" numFmtId="0" xfId="0" applyAlignment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5" fontId="8" numFmtId="0" xfId="0" applyAlignment="1" applyBorder="1" applyFill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" fillId="2" fontId="9" numFmtId="0" xfId="0" applyAlignment="1" applyBorder="1" applyFont="1">
      <alignment horizontal="left" readingOrder="0" vertical="bottom"/>
    </xf>
    <xf borderId="1" fillId="2" fontId="10" numFmtId="0" xfId="0" applyBorder="1" applyFont="1"/>
    <xf borderId="1" fillId="2" fontId="11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0" fillId="6" fontId="14" numFmtId="0" xfId="0" applyAlignment="1" applyFill="1" applyFont="1">
      <alignment horizontal="center" shrinkToFit="0" vertical="center" wrapText="1"/>
    </xf>
    <xf borderId="1" fillId="7" fontId="15" numFmtId="0" xfId="0" applyAlignment="1" applyBorder="1" applyFill="1" applyFont="1">
      <alignment horizontal="left" vertical="bottom"/>
    </xf>
    <xf borderId="1" fillId="7" fontId="16" numFmtId="0" xfId="0" applyBorder="1" applyFont="1"/>
    <xf borderId="1" fillId="7" fontId="5" numFmtId="164" xfId="0" applyAlignment="1" applyBorder="1" applyFont="1" applyNumberFormat="1">
      <alignment horizontal="center" shrinkToFit="0" vertical="center" wrapText="1"/>
    </xf>
    <xf borderId="14" fillId="8" fontId="17" numFmtId="0" xfId="0" applyAlignment="1" applyBorder="1" applyFill="1" applyFont="1">
      <alignment horizontal="center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15" fillId="8" fontId="17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5" fillId="8" fontId="18" numFmtId="0" xfId="0" applyAlignment="1" applyBorder="1" applyFont="1">
      <alignment horizontal="center" shrinkToFit="0" vertical="center" wrapText="1"/>
    </xf>
    <xf borderId="16" fillId="8" fontId="17" numFmtId="0" xfId="0" applyAlignment="1" applyBorder="1" applyFont="1">
      <alignment horizontal="center" shrinkToFit="0" vertical="center" wrapText="1"/>
    </xf>
    <xf borderId="1" fillId="8" fontId="18" numFmtId="4" xfId="0" applyAlignment="1" applyBorder="1" applyFont="1" applyNumberFormat="1">
      <alignment horizontal="center" shrinkToFit="0" vertical="center" wrapText="1"/>
    </xf>
    <xf borderId="15" fillId="8" fontId="18" numFmtId="4" xfId="0" applyAlignment="1" applyBorder="1" applyFont="1" applyNumberFormat="1">
      <alignment horizontal="center" shrinkToFit="0" vertical="center" wrapText="1"/>
    </xf>
    <xf borderId="1" fillId="8" fontId="17" numFmtId="4" xfId="0" applyAlignment="1" applyBorder="1" applyFont="1" applyNumberFormat="1">
      <alignment horizontal="center" shrinkToFit="0" vertical="center" wrapText="1"/>
    </xf>
    <xf borderId="15" fillId="8" fontId="17" numFmtId="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7" fillId="0" fontId="5" numFmtId="164" xfId="0" applyAlignment="1" applyBorder="1" applyFont="1" applyNumberFormat="1">
      <alignment horizontal="center" shrinkToFit="0" vertical="center" wrapText="1"/>
    </xf>
    <xf borderId="16" fillId="8" fontId="17" numFmtId="4" xfId="0" applyAlignment="1" applyBorder="1" applyFont="1" applyNumberFormat="1">
      <alignment horizontal="center" shrinkToFit="0" vertical="center" wrapText="1"/>
    </xf>
    <xf borderId="18" fillId="8" fontId="18" numFmtId="0" xfId="0" applyAlignment="1" applyBorder="1" applyFont="1">
      <alignment horizontal="center" shrinkToFit="0" vertical="center" wrapText="1"/>
    </xf>
    <xf borderId="19" fillId="8" fontId="18" numFmtId="4" xfId="0" applyAlignment="1" applyBorder="1" applyFont="1" applyNumberFormat="1">
      <alignment horizontal="center" shrinkToFit="0" vertical="center" wrapText="1"/>
    </xf>
    <xf borderId="19" fillId="8" fontId="18" numFmtId="0" xfId="0" applyAlignment="1" applyBorder="1" applyFont="1">
      <alignment horizontal="center" shrinkToFit="0" vertical="center" wrapText="1"/>
    </xf>
    <xf borderId="20" fillId="8" fontId="18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0" fillId="8" fontId="19" numFmtId="0" xfId="0" applyAlignment="1" applyFont="1">
      <alignment horizontal="right" shrinkToFit="0" wrapText="0"/>
    </xf>
    <xf borderId="21" fillId="8" fontId="19" numFmtId="0" xfId="0" applyAlignment="1" applyBorder="1" applyFont="1">
      <alignment horizontal="right" shrinkToFit="0" wrapText="0"/>
    </xf>
    <xf borderId="0" fillId="8" fontId="19" numFmtId="0" xfId="0" applyFont="1"/>
    <xf borderId="0" fillId="0" fontId="5" numFmtId="164" xfId="0" applyFont="1" applyNumberFormat="1"/>
    <xf borderId="2" fillId="0" fontId="20" numFmtId="0" xfId="0" applyAlignment="1" applyBorder="1" applyFont="1">
      <alignment horizontal="center" shrinkToFit="0" vertical="center" wrapText="1"/>
    </xf>
    <xf borderId="5" fillId="5" fontId="21" numFmtId="0" xfId="0" applyAlignment="1" applyBorder="1" applyFont="1">
      <alignment horizontal="center" readingOrder="0"/>
    </xf>
    <xf borderId="1" fillId="2" fontId="22" numFmtId="0" xfId="0" applyAlignment="1" applyBorder="1" applyFont="1">
      <alignment horizontal="left" readingOrder="0" vertical="bottom"/>
    </xf>
    <xf borderId="1" fillId="2" fontId="22" numFmtId="0" xfId="0" applyAlignment="1" applyBorder="1" applyFont="1">
      <alignment horizontal="left" shrinkToFit="0" vertical="center" wrapText="1"/>
    </xf>
    <xf borderId="1" fillId="2" fontId="22" numFmtId="16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0" fillId="6" fontId="23" numFmtId="0" xfId="0" applyAlignment="1" applyFont="1">
      <alignment horizontal="center" shrinkToFit="0" vertical="center" wrapText="1"/>
    </xf>
    <xf borderId="1" fillId="7" fontId="25" numFmtId="0" xfId="0" applyAlignment="1" applyBorder="1" applyFont="1">
      <alignment horizontal="left" vertical="bottom"/>
    </xf>
    <xf borderId="1" fillId="7" fontId="25" numFmtId="0" xfId="0" applyAlignment="1" applyBorder="1" applyFont="1">
      <alignment horizontal="left" shrinkToFit="0" vertical="center" wrapText="1"/>
    </xf>
    <xf borderId="1" fillId="7" fontId="26" numFmtId="164" xfId="0" applyAlignment="1" applyBorder="1" applyFont="1" applyNumberForma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Border="1" applyFont="1"/>
    <xf borderId="2" fillId="0" fontId="20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readingOrder="0"/>
    </xf>
    <xf borderId="1" fillId="2" fontId="27" numFmtId="0" xfId="0" applyBorder="1" applyFont="1"/>
    <xf borderId="11" fillId="0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0" fillId="9" fontId="5" numFmtId="0" xfId="0" applyAlignment="1" applyFill="1" applyFont="1">
      <alignment horizontal="center" vertical="center"/>
    </xf>
    <xf borderId="1" fillId="7" fontId="25" numFmtId="0" xfId="0" applyBorder="1" applyFont="1"/>
    <xf borderId="14" fillId="8" fontId="17" numFmtId="0" xfId="0" applyAlignment="1" applyBorder="1" applyFont="1">
      <alignment horizontal="center" vertical="center"/>
    </xf>
    <xf borderId="1" fillId="8" fontId="17" numFmtId="0" xfId="0" applyAlignment="1" applyBorder="1" applyFont="1">
      <alignment horizontal="center" vertical="center"/>
    </xf>
    <xf borderId="15" fillId="8" fontId="17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4" fillId="8" fontId="18" numFmtId="0" xfId="0" applyAlignment="1" applyBorder="1" applyFont="1">
      <alignment horizontal="center" vertical="center"/>
    </xf>
    <xf borderId="1" fillId="8" fontId="18" numFmtId="0" xfId="0" applyAlignment="1" applyBorder="1" applyFont="1">
      <alignment horizontal="center" vertical="center"/>
    </xf>
    <xf borderId="15" fillId="8" fontId="18" numFmtId="0" xfId="0" applyAlignment="1" applyBorder="1" applyFont="1">
      <alignment horizontal="center" vertical="center"/>
    </xf>
    <xf borderId="16" fillId="8" fontId="17" numFmtId="0" xfId="0" applyAlignment="1" applyBorder="1" applyFont="1">
      <alignment horizontal="center" vertical="center"/>
    </xf>
    <xf borderId="1" fillId="8" fontId="18" numFmtId="4" xfId="0" applyAlignment="1" applyBorder="1" applyFont="1" applyNumberFormat="1">
      <alignment horizontal="center" vertical="center"/>
    </xf>
    <xf borderId="15" fillId="8" fontId="18" numFmtId="4" xfId="0" applyAlignment="1" applyBorder="1" applyFont="1" applyNumberFormat="1">
      <alignment horizontal="center" vertical="center"/>
    </xf>
    <xf borderId="0" fillId="0" fontId="5" numFmtId="0" xfId="0" applyFont="1"/>
    <xf borderId="1" fillId="8" fontId="17" numFmtId="4" xfId="0" applyAlignment="1" applyBorder="1" applyFont="1" applyNumberFormat="1">
      <alignment horizontal="center" vertical="center"/>
    </xf>
    <xf borderId="15" fillId="8" fontId="17" numFmtId="4" xfId="0" applyAlignment="1" applyBorder="1" applyFont="1" applyNumberFormat="1">
      <alignment horizontal="center" vertical="center"/>
    </xf>
    <xf borderId="1" fillId="0" fontId="26" numFmtId="0" xfId="0" applyBorder="1" applyFont="1"/>
    <xf borderId="17" fillId="0" fontId="5" numFmtId="0" xfId="0" applyBorder="1" applyFont="1"/>
    <xf borderId="18" fillId="8" fontId="18" numFmtId="0" xfId="0" applyAlignment="1" applyBorder="1" applyFont="1">
      <alignment horizontal="center" vertical="center"/>
    </xf>
    <xf borderId="19" fillId="8" fontId="18" numFmtId="0" xfId="0" applyAlignment="1" applyBorder="1" applyFont="1">
      <alignment horizontal="center" vertical="center"/>
    </xf>
    <xf borderId="20" fillId="8" fontId="18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0" fillId="10" fontId="29" numFmtId="0" xfId="0" applyAlignment="1" applyFill="1" applyFont="1">
      <alignment horizontal="center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3" fillId="0" fontId="29" numFmtId="0" xfId="0" applyAlignment="1" applyBorder="1" applyFont="1">
      <alignment horizontal="center" shrinkToFit="0" vertical="center" wrapText="1"/>
    </xf>
    <xf borderId="1" fillId="7" fontId="26" numFmtId="0" xfId="0" applyBorder="1" applyFont="1"/>
    <xf borderId="5" fillId="8" fontId="17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5" fillId="8" fontId="18" numFmtId="4" xfId="0" applyAlignment="1" applyBorder="1" applyFont="1" applyNumberFormat="1">
      <alignment horizontal="center" shrinkToFit="0" vertical="center" wrapText="1"/>
    </xf>
    <xf borderId="5" fillId="8" fontId="17" numFmtId="4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Current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Result!$A$3:$A$7</c:f>
            </c:strRef>
          </c:cat>
          <c:val>
            <c:numRef>
              <c:f>Result!$B$3:$B$7</c:f>
              <c:numCache/>
            </c:numRef>
          </c:val>
          <c:smooth val="0"/>
        </c:ser>
        <c:ser>
          <c:idx val="1"/>
          <c:order val="1"/>
          <c:tx>
            <c:strRef>
              <c:f>Result!$C$2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Result!$A$3:$A$7</c:f>
            </c:strRef>
          </c:cat>
          <c:val>
            <c:numRef>
              <c:f>Result!$C$3:$C$7</c:f>
              <c:numCache/>
            </c:numRef>
          </c:val>
          <c:smooth val="0"/>
        </c:ser>
        <c:ser>
          <c:idx val="2"/>
          <c:order val="2"/>
          <c:tx>
            <c:strRef>
              <c:f>Result!$D$2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Result!$A$3:$A$7</c:f>
            </c:strRef>
          </c:cat>
          <c:val>
            <c:numRef>
              <c:f>Result!$D$3:$D$7</c:f>
              <c:numCache/>
            </c:numRef>
          </c:val>
          <c:smooth val="0"/>
        </c:ser>
        <c:ser>
          <c:idx val="3"/>
          <c:order val="3"/>
          <c:tx>
            <c:strRef>
              <c:f>Result!$E$2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Result!$A$3:$A$7</c:f>
            </c:strRef>
          </c:cat>
          <c:val>
            <c:numRef>
              <c:f>Result!$E$3:$E$7</c:f>
              <c:numCache/>
            </c:numRef>
          </c:val>
          <c:smooth val="0"/>
        </c:ser>
        <c:ser>
          <c:idx val="4"/>
          <c:order val="4"/>
          <c:tx>
            <c:strRef>
              <c:f>Result!$F$2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Result!$A$3:$A$7</c:f>
            </c:strRef>
          </c:cat>
          <c:val>
            <c:numRef>
              <c:f>Result!$F$3:$F$7</c:f>
              <c:numCache/>
            </c:numRef>
          </c:val>
          <c:smooth val="0"/>
        </c:ser>
        <c:axId val="1828836644"/>
        <c:axId val="18119822"/>
      </c:lineChart>
      <c:catAx>
        <c:axId val="1828836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119822"/>
      </c:catAx>
      <c:valAx>
        <c:axId val="18119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2883664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Quick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Result!$H$3:$H$7</c:f>
            </c:strRef>
          </c:cat>
          <c:val>
            <c:numRef>
              <c:f>Result!$I$3:$I$7</c:f>
              <c:numCache/>
            </c:numRef>
          </c:val>
          <c:smooth val="0"/>
        </c:ser>
        <c:ser>
          <c:idx val="1"/>
          <c:order val="1"/>
          <c:tx>
            <c:strRef>
              <c:f>Result!$J$2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Result!$H$3:$H$7</c:f>
            </c:strRef>
          </c:cat>
          <c:val>
            <c:numRef>
              <c:f>Result!$J$3:$J$7</c:f>
              <c:numCache/>
            </c:numRef>
          </c:val>
          <c:smooth val="0"/>
        </c:ser>
        <c:ser>
          <c:idx val="2"/>
          <c:order val="2"/>
          <c:tx>
            <c:strRef>
              <c:f>Result!$K$2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Result!$H$3:$H$7</c:f>
            </c:strRef>
          </c:cat>
          <c:val>
            <c:numRef>
              <c:f>Result!$K$3:$K$7</c:f>
              <c:numCache/>
            </c:numRef>
          </c:val>
          <c:smooth val="0"/>
        </c:ser>
        <c:ser>
          <c:idx val="3"/>
          <c:order val="3"/>
          <c:tx>
            <c:strRef>
              <c:f>Result!$L$2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Result!$H$3:$H$7</c:f>
            </c:strRef>
          </c:cat>
          <c:val>
            <c:numRef>
              <c:f>Result!$L$3:$L$7</c:f>
              <c:numCache/>
            </c:numRef>
          </c:val>
          <c:smooth val="0"/>
        </c:ser>
        <c:ser>
          <c:idx val="4"/>
          <c:order val="4"/>
          <c:tx>
            <c:strRef>
              <c:f>Result!$M$2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Result!$H$3:$H$7</c:f>
            </c:strRef>
          </c:cat>
          <c:val>
            <c:numRef>
              <c:f>Result!$M$3:$M$7</c:f>
              <c:numCache/>
            </c:numRef>
          </c:val>
          <c:smooth val="0"/>
        </c:ser>
        <c:axId val="396034634"/>
        <c:axId val="188837382"/>
      </c:lineChart>
      <c:catAx>
        <c:axId val="396034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8837382"/>
      </c:catAx>
      <c:valAx>
        <c:axId val="188837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96034634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Return on Assets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Result!$A$10:$A$14</c:f>
            </c:strRef>
          </c:cat>
          <c:val>
            <c:numRef>
              <c:f>Result!$B$10:$B$14</c:f>
              <c:numCache/>
            </c:numRef>
          </c:val>
          <c:smooth val="0"/>
        </c:ser>
        <c:ser>
          <c:idx val="1"/>
          <c:order val="1"/>
          <c:tx>
            <c:strRef>
              <c:f>Result!$C$9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Result!$A$10:$A$14</c:f>
            </c:strRef>
          </c:cat>
          <c:val>
            <c:numRef>
              <c:f>Result!$C$10:$C$14</c:f>
              <c:numCache/>
            </c:numRef>
          </c:val>
          <c:smooth val="0"/>
        </c:ser>
        <c:ser>
          <c:idx val="2"/>
          <c:order val="2"/>
          <c:tx>
            <c:strRef>
              <c:f>Result!$D$9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Result!$A$10:$A$14</c:f>
            </c:strRef>
          </c:cat>
          <c:val>
            <c:numRef>
              <c:f>Result!$D$10:$D$14</c:f>
              <c:numCache/>
            </c:numRef>
          </c:val>
          <c:smooth val="0"/>
        </c:ser>
        <c:ser>
          <c:idx val="3"/>
          <c:order val="3"/>
          <c:tx>
            <c:strRef>
              <c:f>Result!$E$9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Result!$A$10:$A$14</c:f>
            </c:strRef>
          </c:cat>
          <c:val>
            <c:numRef>
              <c:f>Result!$E$10:$E$14</c:f>
              <c:numCache/>
            </c:numRef>
          </c:val>
          <c:smooth val="0"/>
        </c:ser>
        <c:ser>
          <c:idx val="4"/>
          <c:order val="4"/>
          <c:tx>
            <c:strRef>
              <c:f>Result!$F$9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Result!$A$10:$A$14</c:f>
            </c:strRef>
          </c:cat>
          <c:val>
            <c:numRef>
              <c:f>Result!$F$10:$F$14</c:f>
              <c:numCache/>
            </c:numRef>
          </c:val>
          <c:smooth val="0"/>
        </c:ser>
        <c:axId val="720714986"/>
        <c:axId val="789280142"/>
      </c:lineChart>
      <c:catAx>
        <c:axId val="720714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89280142"/>
      </c:catAx>
      <c:valAx>
        <c:axId val="789280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2071498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Return on Equity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Result!$H$10:$H$14</c:f>
            </c:strRef>
          </c:cat>
          <c:val>
            <c:numRef>
              <c:f>Result!$I$10:$I$14</c:f>
              <c:numCache/>
            </c:numRef>
          </c:val>
          <c:smooth val="0"/>
        </c:ser>
        <c:ser>
          <c:idx val="1"/>
          <c:order val="1"/>
          <c:tx>
            <c:strRef>
              <c:f>Result!$J$9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Result!$H$10:$H$14</c:f>
            </c:strRef>
          </c:cat>
          <c:val>
            <c:numRef>
              <c:f>Result!$J$10:$J$14</c:f>
              <c:numCache/>
            </c:numRef>
          </c:val>
          <c:smooth val="0"/>
        </c:ser>
        <c:ser>
          <c:idx val="2"/>
          <c:order val="2"/>
          <c:tx>
            <c:strRef>
              <c:f>Result!$K$9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Result!$H$10:$H$14</c:f>
            </c:strRef>
          </c:cat>
          <c:val>
            <c:numRef>
              <c:f>Result!$K$10:$K$14</c:f>
              <c:numCache/>
            </c:numRef>
          </c:val>
          <c:smooth val="0"/>
        </c:ser>
        <c:ser>
          <c:idx val="3"/>
          <c:order val="3"/>
          <c:tx>
            <c:strRef>
              <c:f>Result!$L$9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Result!$H$10:$H$14</c:f>
            </c:strRef>
          </c:cat>
          <c:val>
            <c:numRef>
              <c:f>Result!$L$10:$L$14</c:f>
              <c:numCache/>
            </c:numRef>
          </c:val>
          <c:smooth val="0"/>
        </c:ser>
        <c:ser>
          <c:idx val="4"/>
          <c:order val="4"/>
          <c:tx>
            <c:strRef>
              <c:f>Result!$M$9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Result!$H$10:$H$14</c:f>
            </c:strRef>
          </c:cat>
          <c:val>
            <c:numRef>
              <c:f>Result!$M$10:$M$14</c:f>
              <c:numCache/>
            </c:numRef>
          </c:val>
          <c:smooth val="0"/>
        </c:ser>
        <c:axId val="1070100260"/>
        <c:axId val="748519725"/>
      </c:lineChart>
      <c:catAx>
        <c:axId val="1070100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48519725"/>
      </c:catAx>
      <c:valAx>
        <c:axId val="748519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7010026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Earning Per Share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Result!$A$17:$A$21</c:f>
            </c:strRef>
          </c:cat>
          <c:val>
            <c:numRef>
              <c:f>Result!$B$17:$B$21</c:f>
              <c:numCache/>
            </c:numRef>
          </c:val>
          <c:smooth val="0"/>
        </c:ser>
        <c:ser>
          <c:idx val="1"/>
          <c:order val="1"/>
          <c:tx>
            <c:strRef>
              <c:f>Result!$C$16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Result!$A$17:$A$21</c:f>
            </c:strRef>
          </c:cat>
          <c:val>
            <c:numRef>
              <c:f>Result!$C$17:$C$21</c:f>
              <c:numCache/>
            </c:numRef>
          </c:val>
          <c:smooth val="0"/>
        </c:ser>
        <c:ser>
          <c:idx val="2"/>
          <c:order val="2"/>
          <c:tx>
            <c:strRef>
              <c:f>Result!$D$16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Result!$A$17:$A$21</c:f>
            </c:strRef>
          </c:cat>
          <c:val>
            <c:numRef>
              <c:f>Result!$D$17:$D$21</c:f>
              <c:numCache/>
            </c:numRef>
          </c:val>
          <c:smooth val="0"/>
        </c:ser>
        <c:ser>
          <c:idx val="3"/>
          <c:order val="3"/>
          <c:tx>
            <c:strRef>
              <c:f>Result!$E$16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Result!$A$17:$A$21</c:f>
            </c:strRef>
          </c:cat>
          <c:val>
            <c:numRef>
              <c:f>Result!$E$17:$E$21</c:f>
              <c:numCache/>
            </c:numRef>
          </c:val>
          <c:smooth val="0"/>
        </c:ser>
        <c:ser>
          <c:idx val="4"/>
          <c:order val="4"/>
          <c:tx>
            <c:strRef>
              <c:f>Result!$F$16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Result!$A$17:$A$21</c:f>
            </c:strRef>
          </c:cat>
          <c:val>
            <c:numRef>
              <c:f>Result!$F$17:$F$21</c:f>
              <c:numCache/>
            </c:numRef>
          </c:val>
          <c:smooth val="0"/>
        </c:ser>
        <c:axId val="1464420327"/>
        <c:axId val="567527103"/>
      </c:lineChart>
      <c:catAx>
        <c:axId val="1464420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67527103"/>
      </c:catAx>
      <c:valAx>
        <c:axId val="567527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64420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Price/Earning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Result!$H$17:$H$21</c:f>
            </c:strRef>
          </c:cat>
          <c:val>
            <c:numRef>
              <c:f>Result!$I$17:$I$21</c:f>
              <c:numCache/>
            </c:numRef>
          </c:val>
          <c:smooth val="0"/>
        </c:ser>
        <c:ser>
          <c:idx val="1"/>
          <c:order val="1"/>
          <c:tx>
            <c:strRef>
              <c:f>Result!$J$16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Result!$H$17:$H$21</c:f>
            </c:strRef>
          </c:cat>
          <c:val>
            <c:numRef>
              <c:f>Result!$J$17:$J$21</c:f>
              <c:numCache/>
            </c:numRef>
          </c:val>
          <c:smooth val="0"/>
        </c:ser>
        <c:ser>
          <c:idx val="2"/>
          <c:order val="2"/>
          <c:tx>
            <c:strRef>
              <c:f>Result!$K$16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Result!$H$17:$H$21</c:f>
            </c:strRef>
          </c:cat>
          <c:val>
            <c:numRef>
              <c:f>Result!$K$17:$K$21</c:f>
              <c:numCache/>
            </c:numRef>
          </c:val>
          <c:smooth val="0"/>
        </c:ser>
        <c:ser>
          <c:idx val="3"/>
          <c:order val="3"/>
          <c:tx>
            <c:strRef>
              <c:f>Result!$L$16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Result!$H$17:$H$21</c:f>
            </c:strRef>
          </c:cat>
          <c:val>
            <c:numRef>
              <c:f>Result!$L$17:$L$21</c:f>
              <c:numCache/>
            </c:numRef>
          </c:val>
          <c:smooth val="0"/>
        </c:ser>
        <c:ser>
          <c:idx val="4"/>
          <c:order val="4"/>
          <c:tx>
            <c:strRef>
              <c:f>Result!$M$16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Result!$H$17:$H$21</c:f>
            </c:strRef>
          </c:cat>
          <c:val>
            <c:numRef>
              <c:f>Result!$M$17:$M$21</c:f>
              <c:numCache/>
            </c:numRef>
          </c:val>
          <c:smooth val="0"/>
        </c:ser>
        <c:axId val="953132080"/>
        <c:axId val="1971689160"/>
      </c:lineChart>
      <c:catAx>
        <c:axId val="95313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71689160"/>
      </c:catAx>
      <c:valAx>
        <c:axId val="1971689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5313208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Debt to Equity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Result!$I$30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Result!$H$31:$H$35</c:f>
            </c:strRef>
          </c:cat>
          <c:val>
            <c:numRef>
              <c:f>Result!$I$31:$I$35</c:f>
              <c:numCache/>
            </c:numRef>
          </c:val>
          <c:smooth val="0"/>
        </c:ser>
        <c:ser>
          <c:idx val="1"/>
          <c:order val="1"/>
          <c:tx>
            <c:strRef>
              <c:f>Result!$J$30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Result!$H$31:$H$35</c:f>
            </c:strRef>
          </c:cat>
          <c:val>
            <c:numRef>
              <c:f>Result!$J$31:$J$35</c:f>
              <c:numCache/>
            </c:numRef>
          </c:val>
          <c:smooth val="0"/>
        </c:ser>
        <c:ser>
          <c:idx val="2"/>
          <c:order val="2"/>
          <c:tx>
            <c:strRef>
              <c:f>Result!$K$30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Result!$H$31:$H$35</c:f>
            </c:strRef>
          </c:cat>
          <c:val>
            <c:numRef>
              <c:f>Result!$K$31:$K$35</c:f>
              <c:numCache/>
            </c:numRef>
          </c:val>
          <c:smooth val="0"/>
        </c:ser>
        <c:ser>
          <c:idx val="3"/>
          <c:order val="3"/>
          <c:tx>
            <c:strRef>
              <c:f>Result!$L$30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Result!$H$31:$H$35</c:f>
            </c:strRef>
          </c:cat>
          <c:val>
            <c:numRef>
              <c:f>Result!$L$31:$L$35</c:f>
              <c:numCache/>
            </c:numRef>
          </c:val>
          <c:smooth val="0"/>
        </c:ser>
        <c:ser>
          <c:idx val="4"/>
          <c:order val="4"/>
          <c:tx>
            <c:strRef>
              <c:f>Result!$M$30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Result!$H$31:$H$35</c:f>
            </c:strRef>
          </c:cat>
          <c:val>
            <c:numRef>
              <c:f>Result!$M$31:$M$35</c:f>
              <c:numCache/>
            </c:numRef>
          </c:val>
          <c:smooth val="0"/>
        </c:ser>
        <c:axId val="846540026"/>
        <c:axId val="21353947"/>
      </c:lineChart>
      <c:catAx>
        <c:axId val="846540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Debt to Equity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353947"/>
      </c:catAx>
      <c:valAx>
        <c:axId val="21353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4654002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Interest Coverage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Result!$A$38:$A$42</c:f>
            </c:strRef>
          </c:cat>
          <c:val>
            <c:numRef>
              <c:f>Result!$B$38:$B$42</c:f>
              <c:numCache/>
            </c:numRef>
          </c:val>
          <c:smooth val="0"/>
        </c:ser>
        <c:ser>
          <c:idx val="1"/>
          <c:order val="1"/>
          <c:tx>
            <c:strRef>
              <c:f>Result!$C$37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Result!$A$38:$A$42</c:f>
            </c:strRef>
          </c:cat>
          <c:val>
            <c:numRef>
              <c:f>Result!$C$38:$C$42</c:f>
              <c:numCache/>
            </c:numRef>
          </c:val>
          <c:smooth val="0"/>
        </c:ser>
        <c:ser>
          <c:idx val="2"/>
          <c:order val="2"/>
          <c:tx>
            <c:strRef>
              <c:f>Result!$D$37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Result!$A$38:$A$42</c:f>
            </c:strRef>
          </c:cat>
          <c:val>
            <c:numRef>
              <c:f>Result!$D$38:$D$42</c:f>
              <c:numCache/>
            </c:numRef>
          </c:val>
          <c:smooth val="0"/>
        </c:ser>
        <c:ser>
          <c:idx val="3"/>
          <c:order val="3"/>
          <c:tx>
            <c:strRef>
              <c:f>Result!$E$37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Result!$A$38:$A$42</c:f>
            </c:strRef>
          </c:cat>
          <c:val>
            <c:numRef>
              <c:f>Result!$E$38:$E$42</c:f>
              <c:numCache/>
            </c:numRef>
          </c:val>
          <c:smooth val="0"/>
        </c:ser>
        <c:ser>
          <c:idx val="4"/>
          <c:order val="4"/>
          <c:tx>
            <c:strRef>
              <c:f>Result!$F$37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Result!$A$38:$A$42</c:f>
            </c:strRef>
          </c:cat>
          <c:val>
            <c:numRef>
              <c:f>Result!$F$38:$F$42</c:f>
              <c:numCache/>
            </c:numRef>
          </c:val>
          <c:smooth val="0"/>
        </c:ser>
        <c:axId val="1121926404"/>
        <c:axId val="35807908"/>
      </c:lineChart>
      <c:catAx>
        <c:axId val="1121926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5807908"/>
      </c:catAx>
      <c:valAx>
        <c:axId val="35807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21926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Profit Margin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Result!$A$24:$A$28</c:f>
            </c:strRef>
          </c:cat>
          <c:val>
            <c:numRef>
              <c:f>Result!$B$24:$B$28</c:f>
              <c:numCache/>
            </c:numRef>
          </c:val>
          <c:smooth val="0"/>
        </c:ser>
        <c:ser>
          <c:idx val="1"/>
          <c:order val="1"/>
          <c:tx>
            <c:strRef>
              <c:f>Result!$C$23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Result!$A$24:$A$28</c:f>
            </c:strRef>
          </c:cat>
          <c:val>
            <c:numRef>
              <c:f>Result!$C$24:$C$28</c:f>
              <c:numCache/>
            </c:numRef>
          </c:val>
          <c:smooth val="0"/>
        </c:ser>
        <c:ser>
          <c:idx val="2"/>
          <c:order val="2"/>
          <c:tx>
            <c:strRef>
              <c:f>Result!$D$23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Result!$A$24:$A$28</c:f>
            </c:strRef>
          </c:cat>
          <c:val>
            <c:numRef>
              <c:f>Result!$D$24:$D$28</c:f>
              <c:numCache/>
            </c:numRef>
          </c:val>
          <c:smooth val="0"/>
        </c:ser>
        <c:ser>
          <c:idx val="3"/>
          <c:order val="3"/>
          <c:tx>
            <c:strRef>
              <c:f>Result!$E$23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Result!$A$24:$A$28</c:f>
            </c:strRef>
          </c:cat>
          <c:val>
            <c:numRef>
              <c:f>Result!$E$24:$E$28</c:f>
              <c:numCache/>
            </c:numRef>
          </c:val>
          <c:smooth val="0"/>
        </c:ser>
        <c:ser>
          <c:idx val="4"/>
          <c:order val="4"/>
          <c:tx>
            <c:strRef>
              <c:f>Result!$F$23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Result!$A$24:$A$28</c:f>
            </c:strRef>
          </c:cat>
          <c:val>
            <c:numRef>
              <c:f>Result!$F$24:$F$28</c:f>
              <c:numCache/>
            </c:numRef>
          </c:val>
          <c:smooth val="0"/>
        </c:ser>
        <c:axId val="1945488572"/>
        <c:axId val="1986462375"/>
      </c:lineChart>
      <c:catAx>
        <c:axId val="1945488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86462375"/>
      </c:catAx>
      <c:valAx>
        <c:axId val="198646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4548857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Assets Turnover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Result!$H$24:$H$28</c:f>
            </c:strRef>
          </c:cat>
          <c:val>
            <c:numRef>
              <c:f>Result!$I$24:$I$28</c:f>
              <c:numCache/>
            </c:numRef>
          </c:val>
          <c:smooth val="0"/>
        </c:ser>
        <c:ser>
          <c:idx val="1"/>
          <c:order val="1"/>
          <c:tx>
            <c:strRef>
              <c:f>Result!$J$23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Result!$H$24:$H$28</c:f>
            </c:strRef>
          </c:cat>
          <c:val>
            <c:numRef>
              <c:f>Result!$J$24:$J$28</c:f>
              <c:numCache/>
            </c:numRef>
          </c:val>
          <c:smooth val="0"/>
        </c:ser>
        <c:ser>
          <c:idx val="2"/>
          <c:order val="2"/>
          <c:tx>
            <c:strRef>
              <c:f>Result!$K$23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Result!$H$24:$H$28</c:f>
            </c:strRef>
          </c:cat>
          <c:val>
            <c:numRef>
              <c:f>Result!$K$24:$K$28</c:f>
              <c:numCache/>
            </c:numRef>
          </c:val>
          <c:smooth val="0"/>
        </c:ser>
        <c:ser>
          <c:idx val="3"/>
          <c:order val="3"/>
          <c:tx>
            <c:strRef>
              <c:f>Result!$L$23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Result!$H$24:$H$28</c:f>
            </c:strRef>
          </c:cat>
          <c:val>
            <c:numRef>
              <c:f>Result!$L$24:$L$28</c:f>
              <c:numCache/>
            </c:numRef>
          </c:val>
          <c:smooth val="0"/>
        </c:ser>
        <c:ser>
          <c:idx val="4"/>
          <c:order val="4"/>
          <c:tx>
            <c:strRef>
              <c:f>Result!$M$23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Result!$H$24:$H$28</c:f>
            </c:strRef>
          </c:cat>
          <c:val>
            <c:numRef>
              <c:f>Result!$M$24:$M$28</c:f>
              <c:numCache/>
            </c:numRef>
          </c:val>
          <c:smooth val="0"/>
        </c:ser>
        <c:axId val="1918328218"/>
        <c:axId val="554231207"/>
      </c:lineChart>
      <c:catAx>
        <c:axId val="1918328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Assets Turnover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54231207"/>
      </c:catAx>
      <c:valAx>
        <c:axId val="554231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18328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DuPont Analysis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Result!$I$37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Result!$H$38:$H$42</c:f>
            </c:strRef>
          </c:cat>
          <c:val>
            <c:numRef>
              <c:f>Result!$I$38:$I$42</c:f>
              <c:numCache/>
            </c:numRef>
          </c:val>
          <c:smooth val="0"/>
        </c:ser>
        <c:ser>
          <c:idx val="1"/>
          <c:order val="1"/>
          <c:tx>
            <c:strRef>
              <c:f>Result!$J$37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Result!$H$38:$H$42</c:f>
            </c:strRef>
          </c:cat>
          <c:val>
            <c:numRef>
              <c:f>Result!$J$38:$J$42</c:f>
              <c:numCache/>
            </c:numRef>
          </c:val>
          <c:smooth val="0"/>
        </c:ser>
        <c:ser>
          <c:idx val="2"/>
          <c:order val="2"/>
          <c:tx>
            <c:strRef>
              <c:f>Result!$K$37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Result!$H$38:$H$42</c:f>
            </c:strRef>
          </c:cat>
          <c:val>
            <c:numRef>
              <c:f>Result!$K$38:$K$42</c:f>
              <c:numCache/>
            </c:numRef>
          </c:val>
          <c:smooth val="0"/>
        </c:ser>
        <c:ser>
          <c:idx val="3"/>
          <c:order val="3"/>
          <c:tx>
            <c:strRef>
              <c:f>Result!$L$37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Result!$H$38:$H$42</c:f>
            </c:strRef>
          </c:cat>
          <c:val>
            <c:numRef>
              <c:f>Result!$L$38:$L$42</c:f>
              <c:numCache/>
            </c:numRef>
          </c:val>
          <c:smooth val="0"/>
        </c:ser>
        <c:ser>
          <c:idx val="4"/>
          <c:order val="4"/>
          <c:tx>
            <c:strRef>
              <c:f>Result!$M$37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Result!$H$38:$H$42</c:f>
            </c:strRef>
          </c:cat>
          <c:val>
            <c:numRef>
              <c:f>Result!$M$38:$M$42</c:f>
              <c:numCache/>
            </c:numRef>
          </c:val>
          <c:smooth val="0"/>
        </c:ser>
        <c:axId val="360204220"/>
        <c:axId val="480126255"/>
      </c:lineChart>
      <c:catAx>
        <c:axId val="360204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80126255"/>
      </c:catAx>
      <c:valAx>
        <c:axId val="480126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6020422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Debt Ratio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Result!$B$30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Result!$A$31:$A$35</c:f>
            </c:strRef>
          </c:cat>
          <c:val>
            <c:numRef>
              <c:f>Result!$B$31:$B$35</c:f>
              <c:numCache/>
            </c:numRef>
          </c:val>
          <c:smooth val="0"/>
        </c:ser>
        <c:ser>
          <c:idx val="1"/>
          <c:order val="1"/>
          <c:tx>
            <c:strRef>
              <c:f>Result!$C$30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Result!$A$31:$A$35</c:f>
            </c:strRef>
          </c:cat>
          <c:val>
            <c:numRef>
              <c:f>Result!$C$31:$C$35</c:f>
              <c:numCache/>
            </c:numRef>
          </c:val>
          <c:smooth val="0"/>
        </c:ser>
        <c:ser>
          <c:idx val="2"/>
          <c:order val="2"/>
          <c:tx>
            <c:strRef>
              <c:f>Result!$D$30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Result!$A$31:$A$35</c:f>
            </c:strRef>
          </c:cat>
          <c:val>
            <c:numRef>
              <c:f>Result!$D$31:$D$35</c:f>
              <c:numCache/>
            </c:numRef>
          </c:val>
          <c:smooth val="0"/>
        </c:ser>
        <c:ser>
          <c:idx val="3"/>
          <c:order val="3"/>
          <c:tx>
            <c:strRef>
              <c:f>Result!$E$30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Result!$A$31:$A$35</c:f>
            </c:strRef>
          </c:cat>
          <c:val>
            <c:numRef>
              <c:f>Result!$E$31:$E$35</c:f>
              <c:numCache/>
            </c:numRef>
          </c:val>
          <c:smooth val="0"/>
        </c:ser>
        <c:ser>
          <c:idx val="4"/>
          <c:order val="4"/>
          <c:tx>
            <c:strRef>
              <c:f>Result!$F$30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Result!$A$31:$A$35</c:f>
            </c:strRef>
          </c:cat>
          <c:val>
            <c:numRef>
              <c:f>Result!$F$31:$F$35</c:f>
              <c:numCache/>
            </c:numRef>
          </c:val>
          <c:smooth val="0"/>
        </c:ser>
        <c:axId val="1407055342"/>
        <c:axId val="2030437867"/>
      </c:lineChart>
      <c:catAx>
        <c:axId val="1407055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layout>
            <c:manualLayout>
              <c:xMode val="edge"/>
              <c:yMode val="edge"/>
              <c:x val="0.09263216145833333"/>
              <c:y val="0.917654986522910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30437867"/>
      </c:catAx>
      <c:valAx>
        <c:axId val="2030437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07055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952500</xdr:colOff>
      <xdr:row>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952500</xdr:colOff>
      <xdr:row>62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47625</xdr:colOff>
      <xdr:row>62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47625</xdr:colOff>
      <xdr:row>84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952500</xdr:colOff>
      <xdr:row>20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47625</xdr:colOff>
      <xdr:row>21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</xdr:col>
      <xdr:colOff>47625</xdr:colOff>
      <xdr:row>41</xdr:row>
      <xdr:rowOff>180975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952500</xdr:colOff>
      <xdr:row>41</xdr:row>
      <xdr:rowOff>180975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952500</xdr:colOff>
      <xdr:row>83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47625</xdr:colOff>
      <xdr:row>105</xdr:row>
      <xdr:rowOff>9525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952500</xdr:colOff>
      <xdr:row>104</xdr:row>
      <xdr:rowOff>180975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6" width="12.63"/>
    <col customWidth="1" min="7" max="7" width="6.88"/>
    <col customWidth="1" min="8" max="8" width="20.0"/>
    <col customWidth="1" min="9" max="9" width="19.1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1" t="s">
        <v>6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</row>
    <row r="3">
      <c r="A3" s="3" t="s">
        <v>7</v>
      </c>
      <c r="B3" s="4">
        <f t="array" ref="B3:B7">TRANSPOSE('ONGC P&amp;L and Balance Sheet'!$R$3:$V$3)</f>
        <v>0.6425842763</v>
      </c>
      <c r="C3" s="4">
        <f t="array" ref="C3:C7">TRANSPOSE('BPCL P&amp;L and Balance Sheet'!$R$3:$V$3)</f>
        <v>0.6692241768</v>
      </c>
      <c r="D3" s="4">
        <f t="array" ref="D3:D7">TRANSPOSE('CIL P&amp;L and Balance Sheet'!$R$3:$V$3)</f>
        <v>0.1893907324</v>
      </c>
      <c r="E3" s="4">
        <f t="array" ref="E3:E7">TRANSPOSE('NTPC P&amp;L and Balance Sheet'!$R$3:$V$3)</f>
        <v>0.8552023561</v>
      </c>
      <c r="F3" s="4">
        <f t="array" ref="F3:F7">TRANSPOSE('IOCL P&amp;L and Balance Sheet'!$R$3:$V$3)</f>
        <v>0.9156144927</v>
      </c>
      <c r="H3" s="3" t="s">
        <v>7</v>
      </c>
      <c r="I3" s="4">
        <f t="array" ref="I3:I7">TRANSPOSE('ONGC P&amp;L and Balance Sheet'!$R4:$V4)</f>
        <v>0.5096123432</v>
      </c>
      <c r="J3" s="4">
        <f t="array" ref="J3:J7">TRANSPOSE('BPCL P&amp;L and Balance Sheet'!$R4:$V4)</f>
        <v>0.1261534726</v>
      </c>
      <c r="K3" s="4">
        <f t="array" ref="K3:K7">TRANSPOSE('CIL P&amp;L and Balance Sheet'!$R4:$V4)</f>
        <v>0.1861447382</v>
      </c>
      <c r="L3" s="4">
        <f t="array" ref="L3:L7">TRANSPOSE('NTPC P&amp;L and Balance Sheet'!$R4:$V4)</f>
        <v>0.577732208</v>
      </c>
      <c r="M3" s="4">
        <f t="array" ref="M3:M7">TRANSPOSE('IOCL P&amp;L and Balance Sheet'!$R4:$V4)</f>
        <v>0.1147480916</v>
      </c>
    </row>
    <row r="4">
      <c r="A4" s="3" t="s">
        <v>8</v>
      </c>
      <c r="B4" s="4">
        <v>0.3304105115248314</v>
      </c>
      <c r="C4" s="4">
        <v>0.6365087668871146</v>
      </c>
      <c r="D4" s="4">
        <v>0.1119674168066527</v>
      </c>
      <c r="E4" s="4">
        <v>0.7244686328146575</v>
      </c>
      <c r="F4" s="4">
        <v>0.8990404418730824</v>
      </c>
      <c r="H4" s="3" t="s">
        <v>8</v>
      </c>
      <c r="I4" s="4">
        <v>0.1997920451107257</v>
      </c>
      <c r="J4" s="4">
        <v>0.14355172605281874</v>
      </c>
      <c r="K4" s="4">
        <v>0.10968367786092101</v>
      </c>
      <c r="L4" s="4">
        <v>0.5237103092100683</v>
      </c>
      <c r="M4" s="4">
        <v>0.13989884382859383</v>
      </c>
    </row>
    <row r="5">
      <c r="A5" s="3" t="s">
        <v>9</v>
      </c>
      <c r="B5" s="4">
        <v>0.24755815193542055</v>
      </c>
      <c r="C5" s="4">
        <v>0.6788588088405191</v>
      </c>
      <c r="D5" s="4">
        <v>0.045308673018001656</v>
      </c>
      <c r="E5" s="4">
        <v>0.4845894411923853</v>
      </c>
      <c r="F5" s="4">
        <v>0.7985730597810813</v>
      </c>
      <c r="H5" s="3" t="s">
        <v>9</v>
      </c>
      <c r="I5" s="4">
        <v>0.12098159648485003</v>
      </c>
      <c r="J5" s="4">
        <v>0.24261830873992374</v>
      </c>
      <c r="K5" s="4">
        <v>0.04512241685990743</v>
      </c>
      <c r="L5" s="4">
        <v>0.30821463488120415</v>
      </c>
      <c r="M5" s="4">
        <v>0.12901609529513589</v>
      </c>
    </row>
    <row r="6">
      <c r="A6" s="3" t="s">
        <v>10</v>
      </c>
      <c r="B6" s="4">
        <v>0.24112212229734045</v>
      </c>
      <c r="C6" s="4">
        <v>0.49763855208932767</v>
      </c>
      <c r="D6" s="4">
        <v>0.21249335005688857</v>
      </c>
      <c r="E6" s="4">
        <v>0.6213416546419471</v>
      </c>
      <c r="F6" s="4">
        <v>0.8197072493092199</v>
      </c>
      <c r="H6" s="3" t="s">
        <v>10</v>
      </c>
      <c r="I6" s="4">
        <v>0.09679799167104834</v>
      </c>
      <c r="J6" s="4">
        <v>0.10223621139799419</v>
      </c>
      <c r="K6" s="4">
        <v>0.20958484939092348</v>
      </c>
      <c r="L6" s="4">
        <v>0.38826349729519827</v>
      </c>
      <c r="M6" s="4">
        <v>0.1427982664614462</v>
      </c>
    </row>
    <row r="7">
      <c r="A7" s="3" t="s">
        <v>11</v>
      </c>
      <c r="B7" s="4">
        <v>0.31833970939937206</v>
      </c>
      <c r="C7" s="4">
        <v>0.5846504471079392</v>
      </c>
      <c r="D7" s="4">
        <v>0.05999430493888356</v>
      </c>
      <c r="E7" s="4">
        <v>0.45461406010648514</v>
      </c>
      <c r="F7" s="4">
        <v>0.7715768774594025</v>
      </c>
      <c r="H7" s="3" t="s">
        <v>11</v>
      </c>
      <c r="I7" s="4">
        <v>0.17056277006744497</v>
      </c>
      <c r="J7" s="4">
        <v>0.1397284331159523</v>
      </c>
      <c r="K7" s="4">
        <v>0.05352513736698341</v>
      </c>
      <c r="L7" s="4">
        <v>0.2590187152052718</v>
      </c>
      <c r="M7" s="4">
        <v>0.13779863659036737</v>
      </c>
    </row>
    <row r="9">
      <c r="A9" s="1" t="s">
        <v>12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H9" s="1" t="s">
        <v>13</v>
      </c>
      <c r="I9" s="2" t="s">
        <v>1</v>
      </c>
      <c r="J9" s="2" t="s">
        <v>2</v>
      </c>
      <c r="K9" s="2" t="s">
        <v>3</v>
      </c>
      <c r="L9" s="2" t="s">
        <v>4</v>
      </c>
      <c r="M9" s="2" t="s">
        <v>5</v>
      </c>
    </row>
    <row r="10" ht="15.75" customHeight="1">
      <c r="A10" s="3" t="s">
        <v>7</v>
      </c>
      <c r="B10" s="4">
        <f t="array" ref="B10:B14">TRANSPOSE('ONGC P&amp;L and Balance Sheet'!$R14:$V14)</f>
        <v>0.1526863103</v>
      </c>
      <c r="C10" s="4">
        <f t="array" ref="C10:C14">TRANSPOSE('BPCL P&amp;L and Balance Sheet'!$R14:$V14)</f>
        <v>0.02313850046</v>
      </c>
      <c r="D10" s="4">
        <f t="array" ref="D10:D14">TRANSPOSE('CIL P&amp;L and Balance Sheet'!$R14:$V14)</f>
        <v>0.8942421604</v>
      </c>
      <c r="E10" s="4">
        <f t="array" ref="E10:E14">TRANSPOSE('NTPC P&amp;L and Balance Sheet'!$R14:$V14)</f>
        <v>0.05524293459</v>
      </c>
      <c r="F10" s="4">
        <f t="array" ref="F10:F14">TRANSPOSE('IOCL P&amp;L and Balance Sheet'!$R14:$V14)</f>
        <v>0.03236288055</v>
      </c>
      <c r="H10" s="3" t="s">
        <v>7</v>
      </c>
      <c r="I10" s="4">
        <f t="array" ref="I10:I14">TRANSPOSE('BPCL P&amp;L and Balance Sheet'!$R16:$V16)</f>
        <v>0.03678905028</v>
      </c>
      <c r="J10" s="4">
        <f t="array" ref="J10:J14">TRANSPOSE('ONGC P&amp;L and Balance Sheet'!$R16:$V16)</f>
        <v>0.1568862471</v>
      </c>
      <c r="K10" s="4">
        <f t="array" ref="K10:K14">TRANSPOSE('CIL P&amp;L and Balance Sheet'!$R16:$V16)</f>
        <v>0.8953623837</v>
      </c>
      <c r="L10" s="4">
        <f t="array" ref="L10:L14">TRANSPOSE('NTPC P&amp;L and Balance Sheet'!$R16:$V16)</f>
        <v>0.03087634175</v>
      </c>
      <c r="M10" s="4">
        <f t="array" ref="M10:M14">TRANSPOSE('IOCL P&amp;L and Balance Sheet'!$R16:$V16)</f>
        <v>0.06195834597</v>
      </c>
    </row>
    <row r="11" ht="15.75" customHeight="1">
      <c r="A11" s="3" t="s">
        <v>8</v>
      </c>
      <c r="B11" s="4">
        <v>0.17405941732256058</v>
      </c>
      <c r="C11" s="4">
        <v>0.11749397923451703</v>
      </c>
      <c r="D11" s="4">
        <v>0.6766345531787399</v>
      </c>
      <c r="E11" s="4">
        <v>0.05538730742059188</v>
      </c>
      <c r="F11" s="4">
        <v>0.10768453362123302</v>
      </c>
      <c r="H11" s="3" t="s">
        <v>8</v>
      </c>
      <c r="I11" s="4">
        <v>0.16866643963454928</v>
      </c>
      <c r="J11" s="4">
        <v>0.18250003294041342</v>
      </c>
      <c r="K11" s="4">
        <v>0.6766345531787399</v>
      </c>
      <c r="L11" s="4">
        <v>0.03140158687442863</v>
      </c>
      <c r="M11" s="4">
        <v>0.2000451638305546</v>
      </c>
    </row>
    <row r="12" ht="15.75" customHeight="1">
      <c r="A12" s="3" t="s">
        <v>9</v>
      </c>
      <c r="B12" s="4">
        <v>0.05256961818846975</v>
      </c>
      <c r="C12" s="4">
        <v>0.25866952554742045</v>
      </c>
      <c r="D12" s="4">
        <v>0.45524193200002033</v>
      </c>
      <c r="E12" s="4">
        <v>0.04942110773001604</v>
      </c>
      <c r="F12" s="4">
        <v>0.10559359731426399</v>
      </c>
      <c r="H12" s="3" t="s">
        <v>9</v>
      </c>
      <c r="I12" s="4">
        <v>0.4339540147082468</v>
      </c>
      <c r="J12" s="4">
        <v>0.056387737114670246</v>
      </c>
      <c r="K12" s="4">
        <v>0.45524193200002033</v>
      </c>
      <c r="L12" s="4">
        <v>0.0</v>
      </c>
      <c r="M12" s="4">
        <v>0.2137969992594566</v>
      </c>
    </row>
    <row r="13" ht="15.75" customHeight="1">
      <c r="A13" s="3" t="s">
        <v>10</v>
      </c>
      <c r="B13" s="4">
        <v>0.06211766384406265</v>
      </c>
      <c r="C13" s="4">
        <v>0.039643900937749</v>
      </c>
      <c r="D13" s="4">
        <v>0.732270520394058</v>
      </c>
      <c r="E13" s="4">
        <v>0.039138787303708546</v>
      </c>
      <c r="F13" s="4">
        <v>0.0065921393445624536</v>
      </c>
      <c r="H13" s="3" t="s">
        <v>10</v>
      </c>
      <c r="I13" s="4">
        <v>0.07671511031983905</v>
      </c>
      <c r="J13" s="4">
        <v>0.06767431779235551</v>
      </c>
      <c r="K13" s="4">
        <v>0.732270520394058</v>
      </c>
      <c r="L13" s="4">
        <v>0.004477648210603781</v>
      </c>
      <c r="M13" s="4">
        <v>0.012974889932823972</v>
      </c>
    </row>
    <row r="14" ht="15.75" customHeight="1">
      <c r="A14" s="3" t="s">
        <v>11</v>
      </c>
      <c r="B14" s="4">
        <v>0.11895565411808824</v>
      </c>
      <c r="C14" s="4">
        <v>0.11153017342486747</v>
      </c>
      <c r="D14" s="4">
        <v>0.7479730149692193</v>
      </c>
      <c r="E14" s="4">
        <v>0.020290042646783933</v>
      </c>
      <c r="F14" s="4">
        <v>0.08802822589007293</v>
      </c>
      <c r="H14" s="3" t="s">
        <v>11</v>
      </c>
      <c r="I14" s="4">
        <v>0.1941336524244318</v>
      </c>
      <c r="J14" s="4">
        <v>0.1316097068587</v>
      </c>
      <c r="K14" s="4">
        <v>0.7479730149692193</v>
      </c>
      <c r="L14" s="4">
        <v>0.09166062507163096</v>
      </c>
      <c r="M14" s="4">
        <v>0.1554807394353138</v>
      </c>
    </row>
    <row r="15" ht="15.75" customHeight="1"/>
    <row r="16" ht="15.75" customHeight="1">
      <c r="A16" s="1" t="s">
        <v>14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H16" s="1" t="s">
        <v>15</v>
      </c>
      <c r="I16" s="2" t="s">
        <v>1</v>
      </c>
      <c r="J16" s="2" t="s">
        <v>2</v>
      </c>
      <c r="K16" s="2" t="s">
        <v>3</v>
      </c>
      <c r="L16" s="2" t="s">
        <v>4</v>
      </c>
      <c r="M16" s="2" t="s">
        <v>5</v>
      </c>
    </row>
    <row r="17" ht="15.75" customHeight="1">
      <c r="A17" s="3" t="s">
        <v>7</v>
      </c>
      <c r="B17" s="4">
        <f t="array" ref="B17:B21">TRANSPOSE('ONGC P&amp;L and Balance Sheet'!$C40:$G40)</f>
        <v>30.86</v>
      </c>
      <c r="C17" s="4">
        <f t="array" ref="C17:C21">TRANSPOSE('BPCL P&amp;L and Balance Sheet'!$C40:$G40)</f>
        <v>8.78</v>
      </c>
      <c r="D17" s="4">
        <f t="array" ref="D17:D21">TRANSPOSE('CIL P&amp;L and Balance Sheet'!$C40:$G40)</f>
        <v>24.02</v>
      </c>
      <c r="E17" s="4">
        <f t="array" ref="E17:E21">TRANSPOSE('NTPC P&amp;L and Balance Sheet'!$C40:$G40)</f>
        <v>143.23</v>
      </c>
      <c r="F17" s="4">
        <f t="array" ref="F17:F21">TRANSPOSE('IOCL P&amp;L and Balance Sheet'!$C40:$G40)</f>
        <v>5.98</v>
      </c>
      <c r="H17" s="3" t="s">
        <v>7</v>
      </c>
      <c r="I17" s="4">
        <f t="array" ref="I17:I21">TRANSPOSE('BPCL P&amp;L and Balance Sheet'!$R19:$V19)</f>
        <v>39.21412301</v>
      </c>
      <c r="J17" s="4">
        <f t="array" ref="J17:J21">TRANSPOSE('ONGC P&amp;L and Balance Sheet'!$R19:$V19)</f>
        <v>5.006480881</v>
      </c>
      <c r="K17" s="4">
        <f t="array" ref="K17:K21">TRANSPOSE('CIL P&amp;L and Balance Sheet'!$R19:$V19)</f>
        <v>8.909242298</v>
      </c>
      <c r="L17" s="4">
        <f t="array" ref="L17:L21">TRANSPOSE('NTPC P&amp;L and Balance Sheet'!$R19:$V19)</f>
        <v>9.870276368</v>
      </c>
      <c r="M17" s="4">
        <f t="array" ref="M17:M21">TRANSPOSE('IOCL P&amp;L and Balance Sheet'!$R19:$V19)</f>
        <v>12.9180602</v>
      </c>
    </row>
    <row r="18" ht="15.75" customHeight="1">
      <c r="A18" s="3" t="s">
        <v>8</v>
      </c>
      <c r="B18" s="4">
        <v>32.04</v>
      </c>
      <c r="C18" s="4">
        <v>41.27</v>
      </c>
      <c r="D18" s="4">
        <v>18.18</v>
      </c>
      <c r="E18" s="4">
        <v>132.06</v>
      </c>
      <c r="F18" s="4">
        <v>26.34</v>
      </c>
      <c r="H18" s="3" t="s">
        <v>8</v>
      </c>
      <c r="I18" s="4">
        <v>8.698812696874242</v>
      </c>
      <c r="J18" s="4">
        <v>5.115480649188514</v>
      </c>
      <c r="K18" s="4">
        <v>10.066006600660065</v>
      </c>
      <c r="L18" s="4">
        <v>8.303249097472923</v>
      </c>
      <c r="M18" s="4">
        <v>3.014426727410782</v>
      </c>
    </row>
    <row r="19" ht="15.75" customHeight="1">
      <c r="A19" s="3" t="s">
        <v>9</v>
      </c>
      <c r="B19" s="4">
        <v>8.94</v>
      </c>
      <c r="C19" s="4">
        <v>90.98</v>
      </c>
      <c r="D19" s="4">
        <v>12.4</v>
      </c>
      <c r="E19" s="4">
        <v>122.71</v>
      </c>
      <c r="F19" s="4">
        <v>23.78</v>
      </c>
      <c r="H19" s="3" t="s">
        <v>9</v>
      </c>
      <c r="I19" s="4">
        <v>4.6933391954275665</v>
      </c>
      <c r="J19" s="4">
        <v>11.521252796420582</v>
      </c>
      <c r="K19" s="4">
        <v>10.564516129032258</v>
      </c>
      <c r="L19" s="4">
        <v>7.535211267605634</v>
      </c>
      <c r="M19" s="4">
        <v>2.57905803195963</v>
      </c>
    </row>
    <row r="20" ht="15.75" customHeight="1">
      <c r="A20" s="3" t="s">
        <v>10</v>
      </c>
      <c r="B20" s="4">
        <v>10.69</v>
      </c>
      <c r="C20" s="4">
        <v>13.64</v>
      </c>
      <c r="D20" s="4">
        <v>18.31</v>
      </c>
      <c r="E20" s="4">
        <v>114.78</v>
      </c>
      <c r="F20" s="4">
        <v>1.43</v>
      </c>
      <c r="H20" s="3" t="s">
        <v>10</v>
      </c>
      <c r="I20" s="4">
        <v>23.167155425219942</v>
      </c>
      <c r="J20" s="4">
        <v>6.26753975678204</v>
      </c>
      <c r="K20" s="4">
        <v>7.536865101037685</v>
      </c>
      <c r="L20" s="4">
        <v>8.21917808219178</v>
      </c>
      <c r="M20" s="4">
        <v>38.06293706293707</v>
      </c>
    </row>
    <row r="21" ht="15.75" customHeight="1">
      <c r="A21" s="3" t="s">
        <v>11</v>
      </c>
      <c r="B21" s="4">
        <v>21.24</v>
      </c>
      <c r="C21" s="4">
        <v>36.26</v>
      </c>
      <c r="D21" s="4">
        <v>16.99</v>
      </c>
      <c r="E21" s="4">
        <v>108.55</v>
      </c>
      <c r="F21" s="4">
        <v>18.4</v>
      </c>
      <c r="H21" s="3" t="s">
        <v>11</v>
      </c>
      <c r="I21" s="4">
        <v>10.976282404853833</v>
      </c>
      <c r="J21" s="4">
        <v>7.556497175141243</v>
      </c>
      <c r="K21" s="4">
        <v>14.008240141259567</v>
      </c>
      <c r="L21" s="4">
        <v>11.447811447811446</v>
      </c>
      <c r="M21" s="4">
        <v>5.909239130434783</v>
      </c>
    </row>
    <row r="22" ht="15.75" customHeight="1"/>
    <row r="23" ht="15.75" customHeight="1">
      <c r="A23" s="1" t="s">
        <v>16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H23" s="1" t="s">
        <v>17</v>
      </c>
      <c r="I23" s="2" t="s">
        <v>1</v>
      </c>
      <c r="J23" s="2" t="s">
        <v>2</v>
      </c>
      <c r="K23" s="2" t="s">
        <v>3</v>
      </c>
      <c r="L23" s="2" t="s">
        <v>4</v>
      </c>
      <c r="M23" s="2" t="s">
        <v>5</v>
      </c>
    </row>
    <row r="24" ht="15.75" customHeight="1">
      <c r="A24" s="3" t="s">
        <v>7</v>
      </c>
      <c r="B24" s="4">
        <f t="array" ref="B24:B28">TRANSPOSE('BPCL P&amp;L and Balance Sheet'!$R12:$V12)</f>
        <v>0.003952657975</v>
      </c>
      <c r="C24" s="4">
        <f t="array" ref="C24:C28">TRANSPOSE('ONGC P&amp;L and Balance Sheet'!$R12:$V12)</f>
        <v>0.2686868938</v>
      </c>
      <c r="D24" s="4">
        <f t="array" ref="D24:D28">TRANSPOSE('CIL P&amp;L and Balance Sheet'!$R12:$V12)</f>
        <v>7.588943405</v>
      </c>
      <c r="E24" s="4">
        <f t="array" ref="E24:E28">TRANSPOSE('NTPC P&amp;L and Balance Sheet'!$R12:$V12)</f>
        <v>0.1050055209</v>
      </c>
      <c r="F24" s="4">
        <f t="array" ref="F24:F28">TRANSPOSE('IOCL P&amp;L and Balance Sheet'!$R12:$V12)</f>
        <v>0.009817859364</v>
      </c>
      <c r="H24" s="3" t="s">
        <v>7</v>
      </c>
      <c r="I24" s="4">
        <f t="array" ref="I24:I28">TRANSPOSE('ONGC P&amp;L and Balance Sheet'!$R5:$V5)</f>
        <v>0.5682685452</v>
      </c>
      <c r="J24" s="4">
        <f t="array" ref="J24:J28">TRANSPOSE('BPCL P&amp;L and Balance Sheet'!$R5:$V5)</f>
        <v>5.853909093</v>
      </c>
      <c r="K24" s="4">
        <f t="array" ref="K24:K28">TRANSPOSE('CIL P&amp;L and Balance Sheet'!$R5:$V5)</f>
        <v>0.1178348701</v>
      </c>
      <c r="L24" s="4">
        <f t="array" ref="L24:L28">TRANSPOSE('NTPC P&amp;L and Balance Sheet'!$R5:$V5)</f>
        <v>0.5260955247</v>
      </c>
      <c r="M24" s="4">
        <f t="array" ref="M24:M28">TRANSPOSE('IOCL P&amp;L and Balance Sheet'!$R5:$V5)</f>
        <v>3.296327575</v>
      </c>
    </row>
    <row r="25" ht="15.75" customHeight="1">
      <c r="A25" s="3" t="s">
        <v>8</v>
      </c>
      <c r="B25" s="4">
        <v>0.024259711711573446</v>
      </c>
      <c r="C25" s="4">
        <v>0.3653567154921003</v>
      </c>
      <c r="D25" s="4">
        <v>9.896079228214008</v>
      </c>
      <c r="E25" s="4">
        <v>0.1387273153257441</v>
      </c>
      <c r="F25" s="4">
        <v>0.04043056771661606</v>
      </c>
      <c r="H25" s="3" t="s">
        <v>8</v>
      </c>
      <c r="I25" s="4">
        <v>0.47640951963376205</v>
      </c>
      <c r="J25" s="4">
        <v>4.843172937560706</v>
      </c>
      <c r="K25" s="4">
        <v>0.06837400323651768</v>
      </c>
      <c r="L25" s="4">
        <v>0.399253076371712</v>
      </c>
      <c r="M25" s="4">
        <v>2.6634435206552167</v>
      </c>
    </row>
    <row r="26" ht="15.75" customHeight="1">
      <c r="A26" s="3" t="s">
        <v>9</v>
      </c>
      <c r="B26" s="4">
        <v>0.08188376518070987</v>
      </c>
      <c r="C26" s="4">
        <v>0.16517705682626305</v>
      </c>
      <c r="D26" s="4">
        <v>11.93299492385787</v>
      </c>
      <c r="E26" s="4">
        <v>0.1387962428351628</v>
      </c>
      <c r="F26" s="4">
        <v>0.05775849876424919</v>
      </c>
      <c r="H26" s="3" t="s">
        <v>9</v>
      </c>
      <c r="I26" s="4">
        <v>0.3182622284144684</v>
      </c>
      <c r="J26" s="4">
        <v>3.158984262345055</v>
      </c>
      <c r="K26" s="4">
        <v>0.0381498471175787</v>
      </c>
      <c r="L26" s="4">
        <v>0.3560694923760259</v>
      </c>
      <c r="M26" s="4">
        <v>1.8281915142092182</v>
      </c>
    </row>
    <row r="27" ht="15.75" customHeight="1">
      <c r="A27" s="3" t="s">
        <v>10</v>
      </c>
      <c r="B27" s="4">
        <v>0.009435129637694524</v>
      </c>
      <c r="C27" s="4">
        <v>0.13980577718657686</v>
      </c>
      <c r="D27" s="4">
        <v>13.34762648492593</v>
      </c>
      <c r="E27" s="4">
        <v>0.10350838927050342</v>
      </c>
      <c r="F27" s="4">
        <v>0.0027040090321557232</v>
      </c>
      <c r="H27" s="3" t="s">
        <v>10</v>
      </c>
      <c r="I27" s="4">
        <v>0.44431399827750995</v>
      </c>
      <c r="J27" s="4">
        <v>4.201733570185051</v>
      </c>
      <c r="K27" s="4">
        <v>0.05486147827263849</v>
      </c>
      <c r="L27" s="4">
        <v>0.3781218853809548</v>
      </c>
      <c r="M27" s="4">
        <v>2.437913211890046</v>
      </c>
    </row>
    <row r="28" ht="15.75" customHeight="1">
      <c r="A28" s="3" t="s">
        <v>11</v>
      </c>
      <c r="B28" s="4">
        <v>0.02399131713206339</v>
      </c>
      <c r="C28" s="4">
        <v>0.2437362591645864</v>
      </c>
      <c r="D28" s="4">
        <v>11.20589746334154</v>
      </c>
      <c r="E28" s="4">
        <v>0.130109892397558</v>
      </c>
      <c r="F28" s="4">
        <v>0.0320146099329003</v>
      </c>
      <c r="H28" s="3" t="s">
        <v>11</v>
      </c>
      <c r="I28" s="4">
        <v>0.4880507090976633</v>
      </c>
      <c r="J28" s="4">
        <v>4.648772420911067</v>
      </c>
      <c r="K28" s="4">
        <v>0.06674815804946493</v>
      </c>
      <c r="L28" s="4">
        <v>0.37223422941797535</v>
      </c>
      <c r="M28" s="4">
        <v>2.7496266883954568</v>
      </c>
    </row>
    <row r="29" ht="15.75" customHeight="1"/>
    <row r="30" ht="15.75" customHeight="1">
      <c r="A30" s="1" t="s">
        <v>18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H30" s="1" t="s">
        <v>19</v>
      </c>
      <c r="I30" s="2" t="s">
        <v>1</v>
      </c>
      <c r="J30" s="2" t="s">
        <v>2</v>
      </c>
      <c r="K30" s="2" t="s">
        <v>3</v>
      </c>
      <c r="L30" s="2" t="s">
        <v>4</v>
      </c>
      <c r="M30" s="2" t="s">
        <v>5</v>
      </c>
    </row>
    <row r="31" ht="15.75" customHeight="1">
      <c r="A31" s="3" t="s">
        <v>7</v>
      </c>
      <c r="B31" s="3">
        <f t="array" ref="B31:B35">TRANSPOSE('ONGC P&amp;L and Balance Sheet'!$R8:$V8)</f>
        <v>0.02723440524</v>
      </c>
      <c r="C31" s="3">
        <f t="array" ref="C31:C35">TRANSPOSE('BPCL P&amp;L and Balance Sheet'!$R8:$V8)</f>
        <v>0.4081313003</v>
      </c>
      <c r="D31" s="3">
        <f t="array" ref="D31:D35">TRANSPOSE('CIL P&amp;L and Balance Sheet'!$R8:$V8)</f>
        <v>0.002473150317</v>
      </c>
      <c r="E31" s="3">
        <f t="array" ref="E31:E35">TRANSPOSE('NTPC P&amp;L and Balance Sheet'!$R8:$V8)</f>
        <v>0.5711786743</v>
      </c>
      <c r="F31" s="3">
        <f t="array" ref="F31:F35">TRANSPOSE('IOCL P&amp;L and Balance Sheet'!$R8:$V8)</f>
        <v>0.4957678865</v>
      </c>
      <c r="H31" s="3" t="s">
        <v>7</v>
      </c>
      <c r="I31" s="4">
        <f t="array" ref="I31:I35">TRANSPOSE('ONGC P&amp;L and Balance Sheet'!$R9:$V9)</f>
        <v>0.02799688372</v>
      </c>
      <c r="J31" s="4">
        <f t="array" ref="J31:J35">TRANSPOSE('BPCL P&amp;L and Balance Sheet'!$R9:$V9)</f>
        <v>0.6895639193</v>
      </c>
      <c r="K31" s="4">
        <f t="array" ref="K31:K35">TRANSPOSE('CIL P&amp;L and Balance Sheet'!$R9:$V9)</f>
        <v>0.002479281954</v>
      </c>
      <c r="L31" s="4">
        <f t="array" ref="L31:L35">TRANSPOSE('NTPC P&amp;L and Balance Sheet'!$R9:$V9)</f>
        <v>1.331973575</v>
      </c>
      <c r="M31" s="4">
        <f t="array" ref="M31:M35">TRANSPOSE('IOCL P&amp;L and Balance Sheet'!$R9:$V9)</f>
        <v>0.9832136295</v>
      </c>
    </row>
    <row r="32" ht="15.75" customHeight="1">
      <c r="A32" s="3" t="s">
        <v>8</v>
      </c>
      <c r="B32" s="3">
        <v>0.02626578358273763</v>
      </c>
      <c r="C32" s="3">
        <v>0.32690272108944946</v>
      </c>
      <c r="D32" s="3">
        <v>0.0</v>
      </c>
      <c r="E32" s="3">
        <v>0.5713027683633125</v>
      </c>
      <c r="F32" s="3">
        <v>0.4576845491287642</v>
      </c>
      <c r="H32" s="3" t="s">
        <v>8</v>
      </c>
      <c r="I32" s="4">
        <v>0.026974284296365194</v>
      </c>
      <c r="J32" s="4">
        <v>0.4856693546860888</v>
      </c>
      <c r="K32" s="4">
        <v>0.0</v>
      </c>
      <c r="L32" s="4">
        <v>1.3326486065286292</v>
      </c>
      <c r="M32" s="4">
        <v>0.8439452506718902</v>
      </c>
    </row>
    <row r="33" ht="15.75" customHeight="1">
      <c r="A33" s="3" t="s">
        <v>9</v>
      </c>
      <c r="B33" s="3">
        <v>0.06841504622230234</v>
      </c>
      <c r="C33" s="3">
        <v>0.28051172533511326</v>
      </c>
      <c r="D33" s="3">
        <v>0.0</v>
      </c>
      <c r="E33" s="3">
        <v>0.5796677451211225</v>
      </c>
      <c r="F33" s="3">
        <v>0.46639179817931015</v>
      </c>
      <c r="H33" s="3" t="s">
        <v>9</v>
      </c>
      <c r="I33" s="4">
        <v>0.07343940662080303</v>
      </c>
      <c r="J33" s="4">
        <v>0.3898767154555314</v>
      </c>
      <c r="K33" s="4">
        <v>0.0</v>
      </c>
      <c r="L33" s="4">
        <v>1.3790703387446654</v>
      </c>
      <c r="M33" s="4">
        <v>0.8740341632455517</v>
      </c>
    </row>
    <row r="34" ht="15.75" customHeight="1">
      <c r="A34" s="3" t="s">
        <v>10</v>
      </c>
      <c r="B34" s="3">
        <v>0.06697055796035474</v>
      </c>
      <c r="C34" s="3">
        <v>0.5349271145843922</v>
      </c>
      <c r="D34" s="3">
        <v>0.0</v>
      </c>
      <c r="E34" s="3">
        <v>0.5857511102194907</v>
      </c>
      <c r="F34" s="3">
        <v>0.545925754358514</v>
      </c>
      <c r="H34" s="3" t="s">
        <v>10</v>
      </c>
      <c r="I34" s="4">
        <v>0.07177753985335555</v>
      </c>
      <c r="J34" s="4">
        <v>1.1502006058821508</v>
      </c>
      <c r="K34" s="4">
        <v>0.0</v>
      </c>
      <c r="L34" s="4">
        <v>1.4140076767130312</v>
      </c>
      <c r="M34" s="4">
        <v>1.202283017807509</v>
      </c>
    </row>
    <row r="35" ht="15.75" customHeight="1">
      <c r="A35" s="3" t="s">
        <v>11</v>
      </c>
      <c r="B35" s="3">
        <v>0.09614827950417063</v>
      </c>
      <c r="C35" s="3">
        <v>0.4254979905234022</v>
      </c>
      <c r="D35" s="3">
        <v>0.0</v>
      </c>
      <c r="E35" s="3">
        <v>0.5572789814399004</v>
      </c>
      <c r="F35" s="3">
        <v>0.43383195751589404</v>
      </c>
      <c r="H35" s="3" t="s">
        <v>11</v>
      </c>
      <c r="I35" s="4">
        <v>0.1063761699628878</v>
      </c>
      <c r="J35" s="4">
        <v>0.7406379499195377</v>
      </c>
      <c r="K35" s="4">
        <v>0.0</v>
      </c>
      <c r="L35" s="4">
        <v>1.2587588076400522</v>
      </c>
      <c r="M35" s="4">
        <v>0.766260058784708</v>
      </c>
    </row>
    <row r="36" ht="15.75" customHeight="1"/>
    <row r="37" ht="15.75" customHeight="1">
      <c r="A37" s="1" t="s">
        <v>20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H37" s="1" t="s">
        <v>21</v>
      </c>
      <c r="I37" s="5" t="s">
        <v>1</v>
      </c>
      <c r="J37" s="2" t="s">
        <v>2</v>
      </c>
      <c r="K37" s="2" t="s">
        <v>3</v>
      </c>
      <c r="L37" s="2" t="s">
        <v>4</v>
      </c>
      <c r="M37" s="2" t="s">
        <v>5</v>
      </c>
    </row>
    <row r="38" ht="15.75" customHeight="1">
      <c r="A38" s="3" t="s">
        <v>7</v>
      </c>
      <c r="B38" s="4">
        <f t="array" ref="B38:B42">TRANSPOSE('BPCL P&amp;L and Balance Sheet'!$R11:$V11)</f>
        <v>1.602947943</v>
      </c>
      <c r="C38" s="4">
        <f t="array" ref="C38:C42">TRANSPOSE('ONGC P&amp;L and Balance Sheet'!$R11:$V11)</f>
        <v>19.65484146</v>
      </c>
      <c r="D38" s="4">
        <f t="array" ref="D38:D42">TRANSPOSE('CIL P&amp;L and Balance Sheet'!$R11:$V11)</f>
        <v>7862.203125</v>
      </c>
      <c r="E38" s="4">
        <f t="array" ref="E38:E42">TRANSPOSE('NTPC P&amp;L and Balance Sheet'!$R11:$V11)</f>
        <v>3.344539609</v>
      </c>
      <c r="F38" s="4">
        <f t="array" ref="F38:F42">TRANSPOSE('IOCL P&amp;L and Balance Sheet'!$R11:$V11)</f>
        <v>2.389334037</v>
      </c>
      <c r="H38" s="3" t="s">
        <v>7</v>
      </c>
      <c r="I38" s="4">
        <f t="array" ref="I38:I42">TRANSPOSE('ONGC P&amp;L and Balance Sheet'!$R22:$V22)</f>
        <v>0.1568862471</v>
      </c>
      <c r="J38" s="4">
        <f t="array" ref="J38:J42">TRANSPOSE('BPCL P&amp;L and Balance Sheet'!$R22:$V22)</f>
        <v>0.03678905028</v>
      </c>
      <c r="K38" s="4">
        <f t="array" ref="K38:K42">TRANSPOSE('CIL P&amp;L and Balance Sheet'!$R22:$V22)</f>
        <v>0.8953623837</v>
      </c>
      <c r="L38" s="4">
        <f t="array" ref="L38:L42">TRANSPOSE('NTPC P&amp;L and Balance Sheet'!$R22:$V22)</f>
        <v>0.128842952</v>
      </c>
      <c r="M38" s="4">
        <f t="array" ref="M38:M42">TRANSPOSE('IOCL P&amp;L and Balance Sheet'!$R22:$V22)</f>
        <v>0.06195834597</v>
      </c>
    </row>
    <row r="39" ht="15.75" customHeight="1">
      <c r="A39" s="3" t="s">
        <v>8</v>
      </c>
      <c r="B39" s="4">
        <v>7.392167612659098</v>
      </c>
      <c r="C39" s="4">
        <v>18.3793699626249</v>
      </c>
      <c r="D39" s="4">
        <v>7572.2266666666665</v>
      </c>
      <c r="E39" s="4">
        <v>3.7730961200722093</v>
      </c>
      <c r="F39" s="4">
        <v>7.451902010726635</v>
      </c>
      <c r="H39" s="3" t="s">
        <v>8</v>
      </c>
      <c r="I39" s="4">
        <v>0.18250003294041345</v>
      </c>
      <c r="J39" s="4">
        <v>0.1686664396345493</v>
      </c>
      <c r="K39" s="4">
        <v>0.67663455317874</v>
      </c>
      <c r="L39" s="4">
        <v>0.13043753523769921</v>
      </c>
      <c r="M39" s="4">
        <v>0.2000451638305546</v>
      </c>
    </row>
    <row r="40" ht="15.75" customHeight="1">
      <c r="A40" s="3" t="s">
        <v>9</v>
      </c>
      <c r="B40" s="4">
        <v>17.975827335963142</v>
      </c>
      <c r="C40" s="4">
        <v>8.391815004470455</v>
      </c>
      <c r="D40" s="4">
        <v>4831.025157232704</v>
      </c>
      <c r="E40" s="4">
        <v>3.0887327172568018</v>
      </c>
      <c r="F40" s="4">
        <v>10.60995436210374</v>
      </c>
      <c r="H40" s="3" t="s">
        <v>9</v>
      </c>
      <c r="I40" s="4">
        <v>0.056387737114670246</v>
      </c>
      <c r="J40" s="4">
        <v>0.4339540147082468</v>
      </c>
      <c r="K40" s="4">
        <v>0.45524193200002033</v>
      </c>
      <c r="L40" s="4">
        <v>0.11841950630760656</v>
      </c>
      <c r="M40" s="4">
        <v>0.21379699925945664</v>
      </c>
    </row>
    <row r="41" ht="15.75" customHeight="1">
      <c r="A41" s="3" t="s">
        <v>10</v>
      </c>
      <c r="B41" s="4">
        <v>2.1393856617748157</v>
      </c>
      <c r="C41" s="4">
        <v>8.111829244106982</v>
      </c>
      <c r="D41" s="4">
        <v>2149.1482889733843</v>
      </c>
      <c r="E41" s="4">
        <v>3.8028994525189583</v>
      </c>
      <c r="F41" s="4">
        <v>0.3628761842644389</v>
      </c>
      <c r="H41" s="3" t="s">
        <v>10</v>
      </c>
      <c r="I41" s="4">
        <v>0.06767431779235551</v>
      </c>
      <c r="J41" s="4">
        <v>0.07671511031983905</v>
      </c>
      <c r="K41" s="4">
        <v>0.732270520394058</v>
      </c>
      <c r="L41" s="4">
        <v>0.09152791542998406</v>
      </c>
      <c r="M41" s="4">
        <v>0.012974889932823972</v>
      </c>
    </row>
    <row r="42" ht="15.75" customHeight="1">
      <c r="A42" s="3" t="s">
        <v>11</v>
      </c>
      <c r="B42" s="4">
        <v>8.810396069630617</v>
      </c>
      <c r="C42" s="4">
        <v>16.91379296508222</v>
      </c>
      <c r="D42" s="4">
        <v>586.5</v>
      </c>
      <c r="E42" s="4">
        <v>2.8330563058383547</v>
      </c>
      <c r="F42" s="4">
        <v>6.818799683602294</v>
      </c>
      <c r="H42" s="3" t="s">
        <v>11</v>
      </c>
      <c r="I42" s="4">
        <v>0.1316097068587</v>
      </c>
      <c r="J42" s="4">
        <v>0.19413365242443184</v>
      </c>
      <c r="K42" s="4">
        <v>0.7479730149692193</v>
      </c>
      <c r="L42" s="4">
        <v>0.10939475088347562</v>
      </c>
      <c r="M42" s="4">
        <v>0.15548073943531382</v>
      </c>
    </row>
    <row r="43" ht="15.75" customHeight="1"/>
    <row r="44" ht="15.75" customHeight="1">
      <c r="A44" s="6"/>
      <c r="B44" s="7"/>
      <c r="C44" s="7"/>
      <c r="D44" s="7"/>
      <c r="E44" s="7"/>
      <c r="F44" s="7"/>
      <c r="G44" s="8"/>
    </row>
    <row r="45" ht="15.75" customHeight="1">
      <c r="A45" s="9"/>
      <c r="B45" s="10"/>
      <c r="C45" s="10"/>
      <c r="D45" s="10"/>
      <c r="E45" s="10"/>
      <c r="F45" s="10"/>
      <c r="G45" s="8"/>
    </row>
    <row r="46" ht="15.75" customHeight="1">
      <c r="A46" s="9"/>
      <c r="B46" s="10"/>
      <c r="C46" s="10"/>
      <c r="D46" s="10"/>
      <c r="E46" s="10"/>
      <c r="F46" s="10"/>
      <c r="G46" s="8"/>
      <c r="H46" s="11"/>
      <c r="I46" s="11"/>
      <c r="J46" s="11"/>
      <c r="K46" s="11"/>
      <c r="L46" s="11"/>
    </row>
    <row r="47" ht="15.75" customHeight="1">
      <c r="A47" s="9"/>
      <c r="B47" s="10"/>
      <c r="C47" s="10"/>
      <c r="D47" s="10"/>
      <c r="E47" s="10"/>
      <c r="F47" s="10"/>
      <c r="G47" s="8"/>
      <c r="H47" s="10"/>
    </row>
    <row r="48" ht="15.75" customHeight="1">
      <c r="A48" s="9"/>
      <c r="B48" s="10"/>
      <c r="C48" s="10"/>
      <c r="D48" s="10"/>
      <c r="E48" s="10"/>
      <c r="F48" s="10"/>
      <c r="G48" s="8"/>
      <c r="H48" s="10"/>
    </row>
    <row r="49" ht="15.75" customHeight="1">
      <c r="A49" s="9"/>
      <c r="B49" s="10"/>
      <c r="C49" s="10"/>
      <c r="D49" s="10"/>
      <c r="E49" s="10"/>
      <c r="F49" s="10"/>
      <c r="G49" s="8"/>
      <c r="H49" s="10"/>
    </row>
    <row r="50" ht="15.75" customHeight="1">
      <c r="H50" s="10"/>
    </row>
    <row r="51" ht="15.75" customHeight="1">
      <c r="H51" s="1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6.88"/>
    <col customWidth="1" min="3" max="6" width="12.63"/>
    <col customWidth="1" min="8" max="8" width="3.75"/>
    <col customWidth="1" min="9" max="9" width="17.0"/>
    <col customWidth="1" min="16" max="16" width="19.13"/>
    <col customWidth="1" min="17" max="17" width="46.75"/>
    <col customWidth="1" min="18" max="18" width="10.38"/>
    <col customWidth="1" min="19" max="19" width="10.25"/>
    <col customWidth="1" min="20" max="20" width="10.38"/>
    <col customWidth="1" min="21" max="21" width="9.88"/>
    <col customWidth="1" min="22" max="22" width="9.75"/>
  </cols>
  <sheetData>
    <row r="1" ht="15.75" customHeight="1">
      <c r="A1" s="12"/>
      <c r="B1" s="13" t="s">
        <v>22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2"/>
      <c r="P1" s="16" t="s">
        <v>22</v>
      </c>
      <c r="Q1" s="17"/>
      <c r="R1" s="17"/>
      <c r="S1" s="17"/>
      <c r="T1" s="17"/>
      <c r="U1" s="17"/>
      <c r="V1" s="18"/>
      <c r="W1" s="12"/>
      <c r="X1" s="12"/>
      <c r="Y1" s="12"/>
      <c r="Z1" s="12"/>
    </row>
    <row r="2" ht="15.75" customHeight="1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2"/>
      <c r="P2" s="22" t="s">
        <v>23</v>
      </c>
      <c r="Q2" s="23" t="s">
        <v>24</v>
      </c>
      <c r="R2" s="24" t="s">
        <v>7</v>
      </c>
      <c r="S2" s="24" t="s">
        <v>8</v>
      </c>
      <c r="T2" s="24" t="s">
        <v>9</v>
      </c>
      <c r="U2" s="24" t="s">
        <v>10</v>
      </c>
      <c r="V2" s="24" t="s">
        <v>11</v>
      </c>
      <c r="W2" s="12"/>
      <c r="X2" s="12"/>
      <c r="Y2" s="12"/>
      <c r="Z2" s="12"/>
    </row>
    <row r="3" ht="15.75" customHeight="1">
      <c r="A3" s="25"/>
      <c r="B3" s="26" t="s">
        <v>25</v>
      </c>
      <c r="C3" s="27" t="s">
        <v>26</v>
      </c>
      <c r="D3" s="28"/>
      <c r="E3" s="28"/>
      <c r="F3" s="28"/>
      <c r="G3" s="29"/>
      <c r="H3" s="30"/>
      <c r="I3" s="26" t="s">
        <v>27</v>
      </c>
      <c r="J3" s="27" t="s">
        <v>28</v>
      </c>
      <c r="K3" s="28"/>
      <c r="L3" s="28"/>
      <c r="M3" s="28"/>
      <c r="N3" s="29"/>
      <c r="O3" s="25"/>
      <c r="P3" s="31" t="s">
        <v>0</v>
      </c>
      <c r="Q3" s="32" t="s">
        <v>29</v>
      </c>
      <c r="R3" s="33">
        <f t="shared" ref="R3:V3" si="1">J29/J32</f>
        <v>0.6425842763</v>
      </c>
      <c r="S3" s="33">
        <f t="shared" si="1"/>
        <v>0.3304105115</v>
      </c>
      <c r="T3" s="33">
        <f t="shared" si="1"/>
        <v>0.2475581519</v>
      </c>
      <c r="U3" s="33">
        <f t="shared" si="1"/>
        <v>0.2411221223</v>
      </c>
      <c r="V3" s="33">
        <f t="shared" si="1"/>
        <v>0.3183397094</v>
      </c>
      <c r="W3" s="25"/>
      <c r="X3" s="25"/>
      <c r="Y3" s="25"/>
      <c r="Z3" s="25"/>
    </row>
    <row r="4" ht="15.75" customHeight="1">
      <c r="A4" s="12"/>
      <c r="B4" s="34"/>
      <c r="C4" s="35" t="s">
        <v>7</v>
      </c>
      <c r="D4" s="35" t="s">
        <v>8</v>
      </c>
      <c r="E4" s="35" t="s">
        <v>9</v>
      </c>
      <c r="F4" s="35" t="s">
        <v>10</v>
      </c>
      <c r="G4" s="36" t="s">
        <v>11</v>
      </c>
      <c r="I4" s="34"/>
      <c r="J4" s="35" t="s">
        <v>7</v>
      </c>
      <c r="K4" s="35" t="s">
        <v>8</v>
      </c>
      <c r="L4" s="35" t="s">
        <v>9</v>
      </c>
      <c r="M4" s="35" t="s">
        <v>10</v>
      </c>
      <c r="N4" s="36" t="s">
        <v>11</v>
      </c>
      <c r="O4" s="12"/>
      <c r="P4" s="31" t="s">
        <v>6</v>
      </c>
      <c r="Q4" s="32" t="s">
        <v>30</v>
      </c>
      <c r="R4" s="33">
        <f t="shared" ref="R4:V4" si="2">(J29-J26)/J32</f>
        <v>0.5096123432</v>
      </c>
      <c r="S4" s="33">
        <f t="shared" si="2"/>
        <v>0.1997920451</v>
      </c>
      <c r="T4" s="33">
        <f t="shared" si="2"/>
        <v>0.1209815965</v>
      </c>
      <c r="U4" s="33">
        <f t="shared" si="2"/>
        <v>0.09679799167</v>
      </c>
      <c r="V4" s="33">
        <f t="shared" si="2"/>
        <v>0.1705627701</v>
      </c>
      <c r="W4" s="12"/>
      <c r="X4" s="12"/>
      <c r="Y4" s="12"/>
      <c r="Z4" s="12"/>
    </row>
    <row r="5" ht="15.75" customHeight="1">
      <c r="A5" s="12"/>
      <c r="B5" s="37"/>
      <c r="C5" s="38"/>
      <c r="D5" s="38"/>
      <c r="E5" s="38"/>
      <c r="F5" s="38"/>
      <c r="G5" s="39"/>
      <c r="I5" s="37"/>
      <c r="J5" s="38"/>
      <c r="K5" s="38"/>
      <c r="L5" s="38"/>
      <c r="M5" s="38"/>
      <c r="N5" s="39"/>
      <c r="O5" s="12"/>
      <c r="P5" s="31" t="s">
        <v>31</v>
      </c>
      <c r="Q5" s="32" t="s">
        <v>32</v>
      </c>
      <c r="R5" s="33">
        <f t="shared" ref="R5:U5" si="3">C11/((J36+K36)/2)</f>
        <v>0.5682685452</v>
      </c>
      <c r="S5" s="33">
        <f t="shared" si="3"/>
        <v>0.4764095196</v>
      </c>
      <c r="T5" s="33">
        <f t="shared" si="3"/>
        <v>0.3182622284</v>
      </c>
      <c r="U5" s="33">
        <f t="shared" si="3"/>
        <v>0.4443139983</v>
      </c>
      <c r="V5" s="33">
        <f>G11/(N36)</f>
        <v>0.4880507091</v>
      </c>
      <c r="W5" s="12"/>
      <c r="X5" s="12"/>
      <c r="Y5" s="12"/>
      <c r="Z5" s="12"/>
    </row>
    <row r="6" ht="15.75" customHeight="1">
      <c r="A6" s="12"/>
      <c r="B6" s="40"/>
      <c r="C6" s="41" t="s">
        <v>33</v>
      </c>
      <c r="D6" s="41" t="s">
        <v>33</v>
      </c>
      <c r="E6" s="41" t="s">
        <v>33</v>
      </c>
      <c r="F6" s="41" t="s">
        <v>33</v>
      </c>
      <c r="G6" s="42" t="s">
        <v>33</v>
      </c>
      <c r="I6" s="40"/>
      <c r="J6" s="41" t="s">
        <v>33</v>
      </c>
      <c r="K6" s="41" t="s">
        <v>33</v>
      </c>
      <c r="L6" s="41" t="s">
        <v>33</v>
      </c>
      <c r="M6" s="41" t="s">
        <v>33</v>
      </c>
      <c r="N6" s="42" t="s">
        <v>33</v>
      </c>
      <c r="O6" s="12"/>
      <c r="P6" s="31" t="s">
        <v>34</v>
      </c>
      <c r="Q6" s="32" t="s">
        <v>35</v>
      </c>
      <c r="R6" s="33">
        <f t="shared" ref="R6:U6" si="4">C11/((J27+K27)/2)</f>
        <v>13.11446318</v>
      </c>
      <c r="S6" s="33">
        <f t="shared" si="4"/>
        <v>11.26518331</v>
      </c>
      <c r="T6" s="33">
        <f t="shared" si="4"/>
        <v>10.82921608</v>
      </c>
      <c r="U6" s="33">
        <f t="shared" si="4"/>
        <v>14.55145547</v>
      </c>
      <c r="V6" s="33">
        <f>G11/(N27)</f>
        <v>12.98695965</v>
      </c>
      <c r="W6" s="12"/>
      <c r="X6" s="12"/>
      <c r="Y6" s="12"/>
      <c r="Z6" s="12"/>
    </row>
    <row r="7" ht="15.75" customHeight="1">
      <c r="A7" s="12"/>
      <c r="B7" s="37"/>
      <c r="C7" s="38"/>
      <c r="D7" s="38"/>
      <c r="E7" s="38"/>
      <c r="F7" s="38"/>
      <c r="G7" s="39"/>
      <c r="I7" s="37"/>
      <c r="J7" s="38"/>
      <c r="K7" s="38"/>
      <c r="L7" s="38"/>
      <c r="M7" s="38"/>
      <c r="N7" s="39"/>
      <c r="O7" s="12"/>
      <c r="P7" s="31" t="s">
        <v>36</v>
      </c>
      <c r="Q7" s="32" t="s">
        <v>37</v>
      </c>
      <c r="R7" s="33">
        <f t="shared" ref="R7:U7" si="5">C21/((J26+K26)/2)</f>
        <v>8.677053791</v>
      </c>
      <c r="S7" s="33">
        <f t="shared" si="5"/>
        <v>6.795018821</v>
      </c>
      <c r="T7" s="33">
        <f t="shared" si="5"/>
        <v>4.93939883</v>
      </c>
      <c r="U7" s="33">
        <f t="shared" si="5"/>
        <v>6.780622943</v>
      </c>
      <c r="V7" s="33">
        <f>G21/(N26)</f>
        <v>7.622741532</v>
      </c>
      <c r="W7" s="12"/>
      <c r="X7" s="12"/>
      <c r="Y7" s="12"/>
      <c r="Z7" s="12"/>
    </row>
    <row r="8" ht="15.75" customHeight="1">
      <c r="A8" s="12"/>
      <c r="B8" s="43" t="s">
        <v>38</v>
      </c>
      <c r="C8" s="18"/>
      <c r="D8" s="35"/>
      <c r="E8" s="35"/>
      <c r="F8" s="35"/>
      <c r="G8" s="36"/>
      <c r="I8" s="43" t="s">
        <v>39</v>
      </c>
      <c r="J8" s="18"/>
      <c r="K8" s="35"/>
      <c r="L8" s="35"/>
      <c r="M8" s="35"/>
      <c r="N8" s="36"/>
      <c r="O8" s="12"/>
      <c r="P8" s="31" t="s">
        <v>18</v>
      </c>
      <c r="Q8" s="32" t="s">
        <v>40</v>
      </c>
      <c r="R8" s="33">
        <f t="shared" ref="R8:V8" si="6">J14/J36</f>
        <v>0.02723440524</v>
      </c>
      <c r="S8" s="33">
        <f t="shared" si="6"/>
        <v>0.02626578358</v>
      </c>
      <c r="T8" s="33">
        <f t="shared" si="6"/>
        <v>0.06841504622</v>
      </c>
      <c r="U8" s="33">
        <f t="shared" si="6"/>
        <v>0.06697055796</v>
      </c>
      <c r="V8" s="33">
        <f t="shared" si="6"/>
        <v>0.0961482795</v>
      </c>
      <c r="W8" s="12"/>
      <c r="X8" s="12"/>
      <c r="Y8" s="12"/>
      <c r="Z8" s="12"/>
    </row>
    <row r="9" ht="15.75" customHeight="1">
      <c r="A9" s="12"/>
      <c r="B9" s="40" t="s">
        <v>41</v>
      </c>
      <c r="C9" s="44">
        <v>155517.32</v>
      </c>
      <c r="D9" s="44">
        <v>110345.4</v>
      </c>
      <c r="E9" s="44">
        <v>68141.09</v>
      </c>
      <c r="F9" s="44">
        <v>96213.61</v>
      </c>
      <c r="G9" s="45">
        <v>109654.55</v>
      </c>
      <c r="I9" s="40" t="s">
        <v>42</v>
      </c>
      <c r="J9" s="44">
        <v>6290.14</v>
      </c>
      <c r="K9" s="44">
        <v>6290.14</v>
      </c>
      <c r="L9" s="44">
        <v>6290.14</v>
      </c>
      <c r="M9" s="44">
        <v>6290.15</v>
      </c>
      <c r="N9" s="45">
        <v>6290.15</v>
      </c>
      <c r="O9" s="12"/>
      <c r="P9" s="31" t="s">
        <v>43</v>
      </c>
      <c r="Q9" s="32" t="s">
        <v>44</v>
      </c>
      <c r="R9" s="33">
        <f t="shared" ref="R9:V9" si="7">J14/(J15-J14)</f>
        <v>0.02799688372</v>
      </c>
      <c r="S9" s="33">
        <f t="shared" si="7"/>
        <v>0.0269742843</v>
      </c>
      <c r="T9" s="33">
        <f t="shared" si="7"/>
        <v>0.07343940662</v>
      </c>
      <c r="U9" s="33">
        <f t="shared" si="7"/>
        <v>0.07177753985</v>
      </c>
      <c r="V9" s="33">
        <f t="shared" si="7"/>
        <v>0.10637617</v>
      </c>
      <c r="W9" s="12"/>
      <c r="X9" s="12"/>
      <c r="Y9" s="12"/>
      <c r="Z9" s="12"/>
    </row>
    <row r="10" ht="15.75" customHeight="1">
      <c r="A10" s="12"/>
      <c r="B10" s="40" t="s">
        <v>45</v>
      </c>
      <c r="C10" s="44">
        <v>11003.87</v>
      </c>
      <c r="D10" s="44">
        <v>26.53</v>
      </c>
      <c r="E10" s="44">
        <v>53.91</v>
      </c>
      <c r="F10" s="44">
        <v>47.77</v>
      </c>
      <c r="G10" s="45">
        <v>45.13</v>
      </c>
      <c r="I10" s="40" t="s">
        <v>46</v>
      </c>
      <c r="J10" s="44">
        <v>6290.14</v>
      </c>
      <c r="K10" s="44">
        <v>6290.14</v>
      </c>
      <c r="L10" s="44">
        <v>6290.14</v>
      </c>
      <c r="M10" s="44">
        <v>6290.15</v>
      </c>
      <c r="N10" s="45">
        <v>6290.15</v>
      </c>
      <c r="O10" s="12"/>
      <c r="P10" s="31" t="s">
        <v>47</v>
      </c>
      <c r="Q10" s="32" t="s">
        <v>48</v>
      </c>
      <c r="R10" s="33">
        <f t="shared" ref="R10:U10" si="8">AVERAGE(J36:K36)/AVERAGE(J12:K12)</f>
        <v>1.027506964</v>
      </c>
      <c r="S10" s="33">
        <f t="shared" si="8"/>
        <v>1.048492726</v>
      </c>
      <c r="T10" s="33">
        <f t="shared" si="8"/>
        <v>1.072629763</v>
      </c>
      <c r="U10" s="33">
        <f t="shared" si="8"/>
        <v>1.089453685</v>
      </c>
      <c r="V10" s="33">
        <f>AVERAGE(N36:O36)/N12</f>
        <v>1.106376219</v>
      </c>
      <c r="W10" s="12"/>
      <c r="X10" s="12"/>
      <c r="Y10" s="12"/>
      <c r="Z10" s="12"/>
    </row>
    <row r="11" ht="15.75" customHeight="1">
      <c r="A11" s="12"/>
      <c r="B11" s="40" t="s">
        <v>49</v>
      </c>
      <c r="C11" s="44">
        <v>144513.45</v>
      </c>
      <c r="D11" s="44">
        <v>110318.87</v>
      </c>
      <c r="E11" s="44">
        <v>68087.18</v>
      </c>
      <c r="F11" s="44">
        <v>96165.84</v>
      </c>
      <c r="G11" s="45">
        <v>109609.42</v>
      </c>
      <c r="I11" s="40" t="s">
        <v>50</v>
      </c>
      <c r="J11" s="44">
        <v>251555.7</v>
      </c>
      <c r="K11" s="44">
        <v>230857.95</v>
      </c>
      <c r="L11" s="44">
        <v>198268.43</v>
      </c>
      <c r="M11" s="44">
        <v>188047.94</v>
      </c>
      <c r="N11" s="45">
        <v>196702.4</v>
      </c>
      <c r="O11" s="12"/>
      <c r="P11" s="31" t="s">
        <v>51</v>
      </c>
      <c r="Q11" s="32" t="s">
        <v>52</v>
      </c>
      <c r="R11" s="33">
        <f t="shared" ref="R11:V11" si="9">(C27-C30)/C28</f>
        <v>19.65484146</v>
      </c>
      <c r="S11" s="33">
        <f t="shared" si="9"/>
        <v>18.37936996</v>
      </c>
      <c r="T11" s="33">
        <f t="shared" si="9"/>
        <v>8.391815004</v>
      </c>
      <c r="U11" s="33">
        <f t="shared" si="9"/>
        <v>8.111829244</v>
      </c>
      <c r="V11" s="33">
        <f t="shared" si="9"/>
        <v>16.91379297</v>
      </c>
      <c r="W11" s="12"/>
      <c r="X11" s="12"/>
      <c r="Y11" s="12"/>
      <c r="Z11" s="12"/>
    </row>
    <row r="12" ht="15.75" customHeight="1">
      <c r="A12" s="12"/>
      <c r="B12" s="40" t="s">
        <v>53</v>
      </c>
      <c r="C12" s="44">
        <v>-1643.27</v>
      </c>
      <c r="D12" s="44">
        <v>6488.48</v>
      </c>
      <c r="E12" s="44">
        <v>8484.23</v>
      </c>
      <c r="F12" s="44">
        <v>918.83</v>
      </c>
      <c r="G12" s="45">
        <v>7224.39</v>
      </c>
      <c r="I12" s="34" t="s">
        <v>54</v>
      </c>
      <c r="J12" s="46">
        <v>257845.84</v>
      </c>
      <c r="K12" s="46">
        <v>237148.09</v>
      </c>
      <c r="L12" s="46">
        <v>204558.57</v>
      </c>
      <c r="M12" s="46">
        <v>194338.09</v>
      </c>
      <c r="N12" s="47">
        <v>202992.55</v>
      </c>
      <c r="O12" s="12"/>
      <c r="P12" s="31" t="s">
        <v>55</v>
      </c>
      <c r="Q12" s="32" t="s">
        <v>56</v>
      </c>
      <c r="R12" s="33">
        <f t="shared" ref="R12:V12" si="10">C34/C11</f>
        <v>0.2686868938</v>
      </c>
      <c r="S12" s="33">
        <f t="shared" si="10"/>
        <v>0.3653567155</v>
      </c>
      <c r="T12" s="33">
        <f t="shared" si="10"/>
        <v>0.1651770568</v>
      </c>
      <c r="U12" s="33">
        <f t="shared" si="10"/>
        <v>0.1398057772</v>
      </c>
      <c r="V12" s="33">
        <f t="shared" si="10"/>
        <v>0.2437362592</v>
      </c>
      <c r="W12" s="12"/>
      <c r="X12" s="12"/>
      <c r="Y12" s="12"/>
      <c r="Z12" s="12"/>
    </row>
    <row r="13" ht="15.75" customHeight="1">
      <c r="A13" s="12"/>
      <c r="B13" s="40" t="s">
        <v>57</v>
      </c>
      <c r="C13" s="44">
        <v>481.67</v>
      </c>
      <c r="D13" s="44">
        <v>142.95</v>
      </c>
      <c r="E13" s="44">
        <v>426.35</v>
      </c>
      <c r="F13" s="44">
        <v>-246.99</v>
      </c>
      <c r="G13" s="45">
        <v>166.27</v>
      </c>
      <c r="I13" s="40" t="s">
        <v>58</v>
      </c>
      <c r="J13" s="44">
        <v>7218.88</v>
      </c>
      <c r="K13" s="44">
        <v>6396.9</v>
      </c>
      <c r="L13" s="44">
        <v>15022.66</v>
      </c>
      <c r="M13" s="44">
        <v>13949.11</v>
      </c>
      <c r="N13" s="45">
        <v>21593.57</v>
      </c>
      <c r="O13" s="12"/>
      <c r="P13" s="31" t="s">
        <v>59</v>
      </c>
      <c r="Q13" s="32" t="s">
        <v>60</v>
      </c>
      <c r="R13" s="33">
        <f t="shared" ref="R13:V13" si="11">(C14-C21)/C11</f>
        <v>0.5061843725</v>
      </c>
      <c r="S13" s="33">
        <f t="shared" si="11"/>
        <v>0.5570122319</v>
      </c>
      <c r="T13" s="33">
        <f t="shared" si="11"/>
        <v>0.5127454243</v>
      </c>
      <c r="U13" s="33">
        <f t="shared" si="11"/>
        <v>0.43177567</v>
      </c>
      <c r="V13" s="33">
        <f t="shared" si="11"/>
        <v>0.5285144288</v>
      </c>
      <c r="W13" s="12"/>
      <c r="X13" s="12"/>
      <c r="Y13" s="12"/>
      <c r="Z13" s="12"/>
    </row>
    <row r="14" ht="15.75" customHeight="1">
      <c r="A14" s="12"/>
      <c r="B14" s="34" t="s">
        <v>61</v>
      </c>
      <c r="C14" s="46">
        <v>143351.85</v>
      </c>
      <c r="D14" s="46">
        <v>116950.3</v>
      </c>
      <c r="E14" s="46">
        <v>76997.76</v>
      </c>
      <c r="F14" s="46">
        <v>96837.68</v>
      </c>
      <c r="G14" s="47">
        <v>117000.08</v>
      </c>
      <c r="I14" s="34" t="s">
        <v>62</v>
      </c>
      <c r="J14" s="46">
        <v>7218.88</v>
      </c>
      <c r="K14" s="46">
        <v>6396.9</v>
      </c>
      <c r="L14" s="46">
        <v>15022.66</v>
      </c>
      <c r="M14" s="46">
        <v>13949.11</v>
      </c>
      <c r="N14" s="47">
        <v>21593.57</v>
      </c>
      <c r="O14" s="12"/>
      <c r="P14" s="31" t="s">
        <v>63</v>
      </c>
      <c r="Q14" s="32" t="s">
        <v>64</v>
      </c>
      <c r="R14" s="33">
        <f t="shared" ref="R14:U14" si="12">C34/AVERAGE(J36:K36)</f>
        <v>0.1526863103</v>
      </c>
      <c r="S14" s="33">
        <f t="shared" si="12"/>
        <v>0.1740594173</v>
      </c>
      <c r="T14" s="33">
        <f t="shared" si="12"/>
        <v>0.05256961819</v>
      </c>
      <c r="U14" s="33">
        <f t="shared" si="12"/>
        <v>0.06211766384</v>
      </c>
      <c r="V14" s="33">
        <f>G34/N36</f>
        <v>0.1189556541</v>
      </c>
      <c r="W14" s="12"/>
      <c r="X14" s="12"/>
      <c r="Y14" s="12"/>
      <c r="Z14" s="12"/>
    </row>
    <row r="15" ht="15.75" customHeight="1">
      <c r="A15" s="12"/>
      <c r="B15" s="43" t="s">
        <v>65</v>
      </c>
      <c r="C15" s="18"/>
      <c r="D15" s="35"/>
      <c r="E15" s="35"/>
      <c r="F15" s="35"/>
      <c r="G15" s="36"/>
      <c r="I15" s="34" t="s">
        <v>66</v>
      </c>
      <c r="J15" s="46">
        <v>265064.72</v>
      </c>
      <c r="K15" s="46">
        <v>243544.99</v>
      </c>
      <c r="L15" s="46">
        <v>219581.23</v>
      </c>
      <c r="M15" s="46">
        <v>208287.2</v>
      </c>
      <c r="N15" s="47">
        <v>224586.12</v>
      </c>
      <c r="O15" s="12"/>
      <c r="P15" s="31" t="s">
        <v>67</v>
      </c>
      <c r="Q15" s="32" t="s">
        <v>68</v>
      </c>
      <c r="R15" s="33">
        <f t="shared" ref="R15:U15" si="13">C26/((J36+K36)/2)</f>
        <v>0.2941104683</v>
      </c>
      <c r="S15" s="33">
        <f t="shared" si="13"/>
        <v>0.2373455772</v>
      </c>
      <c r="T15" s="33">
        <f t="shared" si="13"/>
        <v>0.1235293756</v>
      </c>
      <c r="U15" s="33">
        <f t="shared" si="13"/>
        <v>0.1875987139</v>
      </c>
      <c r="V15" s="33">
        <f>G26/(N36)</f>
        <v>0.225774272</v>
      </c>
      <c r="W15" s="12"/>
      <c r="X15" s="12"/>
      <c r="Y15" s="12"/>
      <c r="Z15" s="12"/>
    </row>
    <row r="16" ht="15.75" customHeight="1">
      <c r="A16" s="12"/>
      <c r="B16" s="40" t="s">
        <v>69</v>
      </c>
      <c r="C16" s="44">
        <v>3921.31</v>
      </c>
      <c r="D16" s="44">
        <v>3272.47</v>
      </c>
      <c r="E16" s="44">
        <v>6664.78</v>
      </c>
      <c r="F16" s="44">
        <v>7654.91</v>
      </c>
      <c r="G16" s="45">
        <v>7423.12</v>
      </c>
      <c r="I16" s="34"/>
      <c r="J16" s="35" t="s">
        <v>7</v>
      </c>
      <c r="K16" s="35" t="s">
        <v>8</v>
      </c>
      <c r="L16" s="35" t="s">
        <v>9</v>
      </c>
      <c r="M16" s="35" t="s">
        <v>10</v>
      </c>
      <c r="N16" s="36" t="s">
        <v>11</v>
      </c>
      <c r="O16" s="12"/>
      <c r="P16" s="31" t="s">
        <v>70</v>
      </c>
      <c r="Q16" s="32" t="s">
        <v>71</v>
      </c>
      <c r="R16" s="33">
        <f t="shared" ref="R16:U16" si="14">C34/((J12+K12)/2)</f>
        <v>0.1568862471</v>
      </c>
      <c r="S16" s="33">
        <f t="shared" si="14"/>
        <v>0.1825000329</v>
      </c>
      <c r="T16" s="33">
        <f t="shared" si="14"/>
        <v>0.05638773711</v>
      </c>
      <c r="U16" s="33">
        <f t="shared" si="14"/>
        <v>0.06767431779</v>
      </c>
      <c r="V16" s="33">
        <f>G34/(N12)</f>
        <v>0.1316097069</v>
      </c>
      <c r="W16" s="12"/>
      <c r="X16" s="12"/>
      <c r="Y16" s="12"/>
      <c r="Z16" s="12"/>
    </row>
    <row r="17" ht="15.75" customHeight="1">
      <c r="A17" s="12"/>
      <c r="B17" s="40" t="s">
        <v>72</v>
      </c>
      <c r="C17" s="44">
        <v>682.01</v>
      </c>
      <c r="D17" s="44">
        <v>394.66</v>
      </c>
      <c r="E17" s="44">
        <v>506.49</v>
      </c>
      <c r="F17" s="44">
        <v>536.75</v>
      </c>
      <c r="G17" s="45">
        <v>535.01</v>
      </c>
      <c r="I17" s="37"/>
      <c r="J17" s="38"/>
      <c r="K17" s="38"/>
      <c r="L17" s="38"/>
      <c r="M17" s="38"/>
      <c r="N17" s="39"/>
      <c r="O17" s="12"/>
      <c r="P17" s="31" t="s">
        <v>73</v>
      </c>
      <c r="Q17" s="32" t="s">
        <v>74</v>
      </c>
      <c r="R17" s="33">
        <f t="shared" ref="R17:V17" si="15">C36/C14</f>
        <v>0.1228618256</v>
      </c>
      <c r="S17" s="33">
        <f t="shared" si="15"/>
        <v>0.0978888468</v>
      </c>
      <c r="T17" s="33">
        <f t="shared" si="15"/>
        <v>0.02859239022</v>
      </c>
      <c r="U17" s="33">
        <f t="shared" si="15"/>
        <v>0.07469891885</v>
      </c>
      <c r="V17" s="33">
        <f t="shared" si="15"/>
        <v>0.08201002939</v>
      </c>
      <c r="W17" s="12"/>
      <c r="X17" s="12"/>
      <c r="Y17" s="12"/>
      <c r="Z17" s="12"/>
    </row>
    <row r="18" ht="15.75" customHeight="1">
      <c r="A18" s="12"/>
      <c r="B18" s="40" t="s">
        <v>75</v>
      </c>
      <c r="C18" s="44">
        <v>10620.71</v>
      </c>
      <c r="D18" s="44">
        <v>11082.09</v>
      </c>
      <c r="E18" s="44">
        <v>10126.54</v>
      </c>
      <c r="F18" s="44">
        <v>11512.42</v>
      </c>
      <c r="G18" s="45">
        <v>12113.03</v>
      </c>
      <c r="I18" s="40"/>
      <c r="J18" s="41" t="s">
        <v>33</v>
      </c>
      <c r="K18" s="41" t="s">
        <v>33</v>
      </c>
      <c r="L18" s="41" t="s">
        <v>33</v>
      </c>
      <c r="M18" s="41" t="s">
        <v>33</v>
      </c>
      <c r="N18" s="42" t="s">
        <v>33</v>
      </c>
      <c r="O18" s="12"/>
      <c r="P18" s="31" t="s">
        <v>76</v>
      </c>
      <c r="Q18" s="32" t="s">
        <v>77</v>
      </c>
      <c r="R18" s="33">
        <f t="shared" ref="R18:V18" si="16">(C34-C36)/C34</f>
        <v>0.5464078661</v>
      </c>
      <c r="S18" s="33">
        <f t="shared" si="16"/>
        <v>0.7159677505</v>
      </c>
      <c r="T18" s="33">
        <f t="shared" si="16"/>
        <v>0.804244721</v>
      </c>
      <c r="U18" s="33">
        <f t="shared" si="16"/>
        <v>0.4619622538</v>
      </c>
      <c r="V18" s="33">
        <f t="shared" si="16"/>
        <v>0.6408423633</v>
      </c>
      <c r="W18" s="12"/>
      <c r="X18" s="12"/>
      <c r="Y18" s="12"/>
      <c r="Z18" s="12"/>
    </row>
    <row r="19" ht="15.75" customHeight="1">
      <c r="A19" s="12"/>
      <c r="B19" s="40" t="s">
        <v>78</v>
      </c>
      <c r="C19" s="44">
        <v>9994.45</v>
      </c>
      <c r="D19" s="44">
        <v>5508.29</v>
      </c>
      <c r="E19" s="44">
        <v>5607.37</v>
      </c>
      <c r="F19" s="44">
        <v>6305.1</v>
      </c>
      <c r="G19" s="45">
        <v>5666.51</v>
      </c>
      <c r="I19" s="37"/>
      <c r="J19" s="38"/>
      <c r="K19" s="38"/>
      <c r="L19" s="38"/>
      <c r="M19" s="38"/>
      <c r="N19" s="39"/>
      <c r="O19" s="12"/>
      <c r="P19" s="31" t="s">
        <v>79</v>
      </c>
      <c r="Q19" s="32" t="s">
        <v>80</v>
      </c>
      <c r="R19" s="33">
        <f t="shared" ref="R19:V19" si="17">C44/C40</f>
        <v>5.006480881</v>
      </c>
      <c r="S19" s="33">
        <f t="shared" si="17"/>
        <v>5.115480649</v>
      </c>
      <c r="T19" s="33">
        <f t="shared" si="17"/>
        <v>11.5212528</v>
      </c>
      <c r="U19" s="33">
        <f t="shared" si="17"/>
        <v>6.267539757</v>
      </c>
      <c r="V19" s="33">
        <f t="shared" si="17"/>
        <v>7.556497175</v>
      </c>
      <c r="W19" s="12"/>
      <c r="X19" s="12"/>
      <c r="Y19" s="12"/>
      <c r="Z19" s="12"/>
    </row>
    <row r="20" ht="15.75" customHeight="1">
      <c r="A20" s="12"/>
      <c r="B20" s="40" t="s">
        <v>81</v>
      </c>
      <c r="C20" s="44">
        <v>44982.92</v>
      </c>
      <c r="D20" s="44">
        <v>35243.83</v>
      </c>
      <c r="E20" s="44">
        <v>19181.19</v>
      </c>
      <c r="F20" s="44">
        <v>29306.43</v>
      </c>
      <c r="G20" s="45">
        <v>33332.25</v>
      </c>
      <c r="I20" s="43" t="s">
        <v>82</v>
      </c>
      <c r="J20" s="18"/>
      <c r="K20" s="35"/>
      <c r="L20" s="35"/>
      <c r="M20" s="35"/>
      <c r="N20" s="36"/>
      <c r="O20" s="12"/>
      <c r="P20" s="31" t="s">
        <v>83</v>
      </c>
      <c r="Q20" s="32" t="s">
        <v>84</v>
      </c>
      <c r="R20" s="33">
        <f t="shared" ref="R20:V20" si="18">C36/C39/C44*100</f>
        <v>0.09061529524</v>
      </c>
      <c r="S20" s="33">
        <f t="shared" si="18"/>
        <v>0.05552202867</v>
      </c>
      <c r="T20" s="33">
        <f t="shared" si="18"/>
        <v>0.01699030033</v>
      </c>
      <c r="U20" s="33">
        <f t="shared" si="18"/>
        <v>0.08582100912</v>
      </c>
      <c r="V20" s="33">
        <f t="shared" si="18"/>
        <v>0.04752124572</v>
      </c>
      <c r="W20" s="12"/>
      <c r="X20" s="12"/>
      <c r="Y20" s="12"/>
      <c r="Z20" s="12"/>
    </row>
    <row r="21" ht="15.75" customHeight="1">
      <c r="A21" s="12"/>
      <c r="B21" s="40" t="s">
        <v>85</v>
      </c>
      <c r="C21" s="44">
        <v>70201.4</v>
      </c>
      <c r="D21" s="44">
        <v>55501.34</v>
      </c>
      <c r="E21" s="44">
        <v>42086.37</v>
      </c>
      <c r="F21" s="44">
        <v>55315.61</v>
      </c>
      <c r="G21" s="45">
        <v>59069.92</v>
      </c>
      <c r="I21" s="40" t="s">
        <v>86</v>
      </c>
      <c r="J21" s="44">
        <v>156101.46</v>
      </c>
      <c r="K21" s="44">
        <v>227459.13</v>
      </c>
      <c r="L21" s="44">
        <v>225291.19</v>
      </c>
      <c r="M21" s="44">
        <v>208314.0</v>
      </c>
      <c r="N21" s="45">
        <v>181369.8</v>
      </c>
      <c r="O21" s="12"/>
      <c r="P21" s="31" t="s">
        <v>87</v>
      </c>
      <c r="Q21" s="32" t="s">
        <v>88</v>
      </c>
      <c r="R21" s="33">
        <f t="shared" ref="R21:V21" si="19">C44/C42</f>
        <v>0.7538056206</v>
      </c>
      <c r="S21" s="33">
        <f t="shared" si="19"/>
        <v>0.8694498966</v>
      </c>
      <c r="T21" s="33">
        <f t="shared" si="19"/>
        <v>0.6334563346</v>
      </c>
      <c r="U21" s="33">
        <f t="shared" si="19"/>
        <v>0.433713102</v>
      </c>
      <c r="V21" s="33">
        <f t="shared" si="19"/>
        <v>0.9946703024</v>
      </c>
      <c r="W21" s="12"/>
      <c r="X21" s="12"/>
      <c r="Y21" s="12"/>
      <c r="Z21" s="12"/>
    </row>
    <row r="22" ht="15.75" customHeight="1">
      <c r="A22" s="12"/>
      <c r="B22" s="34"/>
      <c r="C22" s="46" t="s">
        <v>7</v>
      </c>
      <c r="D22" s="35" t="s">
        <v>8</v>
      </c>
      <c r="E22" s="46" t="s">
        <v>9</v>
      </c>
      <c r="F22" s="46" t="s">
        <v>10</v>
      </c>
      <c r="G22" s="47" t="s">
        <v>11</v>
      </c>
      <c r="I22" s="40" t="s">
        <v>89</v>
      </c>
      <c r="J22" s="44">
        <v>14486.66</v>
      </c>
      <c r="K22" s="44">
        <v>90523.54</v>
      </c>
      <c r="L22" s="44">
        <v>94591.43</v>
      </c>
      <c r="M22" s="44">
        <v>80614.94</v>
      </c>
      <c r="N22" s="45">
        <v>56950.68</v>
      </c>
      <c r="O22" s="12"/>
      <c r="P22" s="31" t="s">
        <v>90</v>
      </c>
      <c r="Q22" s="32" t="s">
        <v>91</v>
      </c>
      <c r="R22" s="33">
        <f t="shared" ref="R22:V22" si="20">R12*R5*R10</f>
        <v>0.1568862471</v>
      </c>
      <c r="S22" s="33">
        <f t="shared" si="20"/>
        <v>0.1825000329</v>
      </c>
      <c r="T22" s="33">
        <f t="shared" si="20"/>
        <v>0.05638773711</v>
      </c>
      <c r="U22" s="33">
        <f t="shared" si="20"/>
        <v>0.06767431779</v>
      </c>
      <c r="V22" s="33">
        <f t="shared" si="20"/>
        <v>0.1316097069</v>
      </c>
      <c r="W22" s="12"/>
      <c r="X22" s="12"/>
      <c r="Y22" s="12"/>
      <c r="Z22" s="12"/>
    </row>
    <row r="23" ht="15.75" customHeight="1">
      <c r="A23" s="12"/>
      <c r="B23" s="40"/>
      <c r="C23" s="41"/>
      <c r="D23" s="41"/>
      <c r="E23" s="41"/>
      <c r="F23" s="41"/>
      <c r="G23" s="42"/>
      <c r="I23" s="34" t="s">
        <v>92</v>
      </c>
      <c r="J23" s="46">
        <v>141614.8</v>
      </c>
      <c r="K23" s="46">
        <v>136935.59</v>
      </c>
      <c r="L23" s="46">
        <v>130699.76</v>
      </c>
      <c r="M23" s="46">
        <v>127699.06</v>
      </c>
      <c r="N23" s="47">
        <v>124419.12</v>
      </c>
      <c r="O23" s="12"/>
      <c r="P23" s="12"/>
      <c r="Q23" s="12"/>
      <c r="R23" s="48"/>
      <c r="S23" s="48"/>
      <c r="T23" s="48"/>
      <c r="U23" s="48"/>
      <c r="V23" s="48"/>
      <c r="W23" s="12"/>
      <c r="X23" s="12"/>
      <c r="Y23" s="12"/>
      <c r="Z23" s="12"/>
    </row>
    <row r="24" ht="15.75" customHeight="1">
      <c r="A24" s="12"/>
      <c r="B24" s="40"/>
      <c r="C24" s="44" t="s">
        <v>33</v>
      </c>
      <c r="D24" s="44" t="s">
        <v>33</v>
      </c>
      <c r="E24" s="44" t="s">
        <v>33</v>
      </c>
      <c r="F24" s="44" t="s">
        <v>33</v>
      </c>
      <c r="G24" s="45" t="s">
        <v>33</v>
      </c>
      <c r="I24" s="40" t="s">
        <v>93</v>
      </c>
      <c r="J24" s="44">
        <v>46368.24</v>
      </c>
      <c r="K24" s="44">
        <v>41970.71</v>
      </c>
      <c r="L24" s="44">
        <v>40949.08</v>
      </c>
      <c r="M24" s="44">
        <v>36225.54</v>
      </c>
      <c r="N24" s="45">
        <v>35050.23</v>
      </c>
      <c r="O24" s="12"/>
      <c r="P24" s="12"/>
      <c r="Q24" s="12"/>
      <c r="R24" s="48"/>
      <c r="S24" s="48"/>
      <c r="T24" s="48"/>
      <c r="U24" s="48"/>
      <c r="V24" s="48"/>
      <c r="W24" s="12"/>
      <c r="X24" s="12"/>
      <c r="Y24" s="12"/>
      <c r="Z24" s="12"/>
    </row>
    <row r="25" ht="15.75" customHeight="1">
      <c r="A25" s="12"/>
      <c r="B25" s="40"/>
      <c r="C25" s="41"/>
      <c r="D25" s="41"/>
      <c r="E25" s="41"/>
      <c r="F25" s="41"/>
      <c r="G25" s="42"/>
      <c r="I25" s="34" t="s">
        <v>94</v>
      </c>
      <c r="J25" s="46">
        <v>84985.58</v>
      </c>
      <c r="K25" s="46">
        <v>85173.22</v>
      </c>
      <c r="L25" s="46">
        <v>81376.44</v>
      </c>
      <c r="M25" s="46">
        <v>72429.99</v>
      </c>
      <c r="N25" s="47">
        <v>84881.54</v>
      </c>
      <c r="O25" s="12"/>
      <c r="P25" s="12"/>
      <c r="Q25" s="12"/>
      <c r="R25" s="48"/>
      <c r="S25" s="48"/>
      <c r="T25" s="48"/>
      <c r="U25" s="48"/>
      <c r="V25" s="48"/>
      <c r="W25" s="12"/>
      <c r="X25" s="12"/>
      <c r="Y25" s="12"/>
      <c r="Z25" s="12"/>
    </row>
    <row r="26" ht="15.75" customHeight="1">
      <c r="A26" s="12"/>
      <c r="B26" s="34" t="s">
        <v>95</v>
      </c>
      <c r="C26" s="46">
        <v>74793.72</v>
      </c>
      <c r="D26" s="46">
        <v>54960.48</v>
      </c>
      <c r="E26" s="46">
        <v>26427.16</v>
      </c>
      <c r="F26" s="46">
        <v>40603.24</v>
      </c>
      <c r="G26" s="47">
        <v>50705.77</v>
      </c>
      <c r="I26" s="40" t="s">
        <v>96</v>
      </c>
      <c r="J26" s="44">
        <v>8319.51</v>
      </c>
      <c r="K26" s="44">
        <v>7861.42</v>
      </c>
      <c r="L26" s="44">
        <v>8474.47</v>
      </c>
      <c r="M26" s="44">
        <v>8566.62</v>
      </c>
      <c r="N26" s="45">
        <v>7749.17</v>
      </c>
      <c r="O26" s="12"/>
      <c r="P26" s="12"/>
      <c r="Q26" s="12"/>
      <c r="R26" s="48"/>
      <c r="S26" s="48"/>
      <c r="T26" s="48"/>
      <c r="U26" s="48"/>
      <c r="V26" s="48"/>
      <c r="W26" s="12"/>
      <c r="X26" s="12"/>
      <c r="Y26" s="12"/>
      <c r="Z26" s="12"/>
    </row>
    <row r="27" ht="15.75" customHeight="1">
      <c r="A27" s="12"/>
      <c r="B27" s="40" t="s">
        <v>97</v>
      </c>
      <c r="C27" s="44">
        <v>73150.45</v>
      </c>
      <c r="D27" s="44">
        <v>61448.96</v>
      </c>
      <c r="E27" s="44">
        <v>34911.39</v>
      </c>
      <c r="F27" s="44">
        <v>41522.07</v>
      </c>
      <c r="G27" s="45">
        <v>57930.16</v>
      </c>
      <c r="I27" s="40" t="s">
        <v>98</v>
      </c>
      <c r="J27" s="44">
        <v>10250.31</v>
      </c>
      <c r="K27" s="44">
        <v>11788.48</v>
      </c>
      <c r="L27" s="44">
        <v>7797.33</v>
      </c>
      <c r="M27" s="44">
        <v>4777.39</v>
      </c>
      <c r="N27" s="45">
        <v>8439.96</v>
      </c>
      <c r="O27" s="12"/>
      <c r="P27" s="12"/>
      <c r="Q27" s="12"/>
      <c r="R27" s="48"/>
      <c r="S27" s="48"/>
      <c r="T27" s="48"/>
      <c r="U27" s="48"/>
      <c r="V27" s="48"/>
      <c r="W27" s="12"/>
      <c r="X27" s="12"/>
      <c r="Y27" s="12"/>
      <c r="Z27" s="12"/>
    </row>
    <row r="28" ht="15.75" customHeight="1">
      <c r="A28" s="12"/>
      <c r="B28" s="40" t="s">
        <v>99</v>
      </c>
      <c r="C28" s="44">
        <v>2699.6</v>
      </c>
      <c r="D28" s="44">
        <v>2359.86</v>
      </c>
      <c r="E28" s="44">
        <v>2214.54</v>
      </c>
      <c r="F28" s="44">
        <v>2823.68</v>
      </c>
      <c r="G28" s="45">
        <v>2492.14</v>
      </c>
      <c r="I28" s="40" t="s">
        <v>100</v>
      </c>
      <c r="J28" s="44">
        <v>21634.05</v>
      </c>
      <c r="K28" s="41">
        <v>236.23</v>
      </c>
      <c r="L28" s="41">
        <v>302.55</v>
      </c>
      <c r="M28" s="41">
        <v>968.23</v>
      </c>
      <c r="N28" s="42">
        <v>504.06</v>
      </c>
      <c r="O28" s="12"/>
      <c r="P28" s="12"/>
      <c r="Q28" s="12"/>
      <c r="R28" s="48"/>
      <c r="S28" s="48"/>
      <c r="T28" s="48"/>
      <c r="U28" s="48"/>
      <c r="V28" s="48"/>
      <c r="W28" s="12"/>
      <c r="X28" s="12"/>
      <c r="Y28" s="12"/>
      <c r="Z28" s="12"/>
    </row>
    <row r="29" ht="15.75" customHeight="1">
      <c r="A29" s="12"/>
      <c r="B29" s="40" t="s">
        <v>101</v>
      </c>
      <c r="C29" s="44">
        <v>70450.85</v>
      </c>
      <c r="D29" s="44">
        <v>59089.1</v>
      </c>
      <c r="E29" s="44">
        <v>32696.85</v>
      </c>
      <c r="F29" s="44">
        <v>38698.39</v>
      </c>
      <c r="G29" s="45">
        <v>55438.02</v>
      </c>
      <c r="I29" s="40" t="s">
        <v>102</v>
      </c>
      <c r="J29" s="44">
        <v>40203.87</v>
      </c>
      <c r="K29" s="44">
        <v>19886.13</v>
      </c>
      <c r="L29" s="44">
        <v>16574.35</v>
      </c>
      <c r="M29" s="44">
        <v>14312.24</v>
      </c>
      <c r="N29" s="45">
        <v>16693.19</v>
      </c>
      <c r="O29" s="12"/>
      <c r="P29" s="12"/>
      <c r="Q29" s="12"/>
      <c r="R29" s="48"/>
      <c r="S29" s="48"/>
      <c r="T29" s="48"/>
      <c r="U29" s="48"/>
      <c r="V29" s="48"/>
      <c r="W29" s="12"/>
      <c r="X29" s="12"/>
      <c r="Y29" s="12"/>
      <c r="Z29" s="12"/>
    </row>
    <row r="30" ht="15.75" customHeight="1">
      <c r="A30" s="12"/>
      <c r="B30" s="40" t="s">
        <v>103</v>
      </c>
      <c r="C30" s="44">
        <v>20090.24</v>
      </c>
      <c r="D30" s="44">
        <v>18076.22</v>
      </c>
      <c r="E30" s="44">
        <v>16327.38</v>
      </c>
      <c r="F30" s="44">
        <v>18616.86</v>
      </c>
      <c r="G30" s="45">
        <v>15778.62</v>
      </c>
      <c r="I30" s="40" t="s">
        <v>104</v>
      </c>
      <c r="J30" s="44">
        <v>53864.61</v>
      </c>
      <c r="K30" s="44">
        <v>53298.59</v>
      </c>
      <c r="L30" s="44">
        <v>48853.95</v>
      </c>
      <c r="M30" s="44">
        <v>46013.92</v>
      </c>
      <c r="N30" s="45">
        <v>41190.74</v>
      </c>
      <c r="O30" s="12"/>
      <c r="P30" s="12"/>
      <c r="Q30" s="12"/>
      <c r="R30" s="48"/>
      <c r="S30" s="48"/>
      <c r="T30" s="48"/>
      <c r="U30" s="48"/>
      <c r="V30" s="48"/>
      <c r="W30" s="12"/>
      <c r="X30" s="12"/>
      <c r="Y30" s="12"/>
      <c r="Z30" s="12"/>
    </row>
    <row r="31" ht="15.75" customHeight="1">
      <c r="A31" s="12"/>
      <c r="B31" s="40" t="s">
        <v>105</v>
      </c>
      <c r="C31" s="44">
        <v>50360.61</v>
      </c>
      <c r="D31" s="44">
        <v>41012.88</v>
      </c>
      <c r="E31" s="44">
        <v>16369.47</v>
      </c>
      <c r="F31" s="44">
        <v>20081.53</v>
      </c>
      <c r="G31" s="45">
        <v>39659.4</v>
      </c>
      <c r="I31" s="40" t="s">
        <v>106</v>
      </c>
      <c r="J31" s="44">
        <v>94068.48</v>
      </c>
      <c r="K31" s="44">
        <v>73184.72</v>
      </c>
      <c r="L31" s="44">
        <v>65428.3</v>
      </c>
      <c r="M31" s="44">
        <v>60326.16</v>
      </c>
      <c r="N31" s="45">
        <v>57883.93</v>
      </c>
      <c r="O31" s="12"/>
      <c r="P31" s="12"/>
      <c r="Q31" s="12"/>
      <c r="R31" s="48"/>
      <c r="S31" s="48"/>
      <c r="T31" s="48"/>
      <c r="U31" s="48"/>
      <c r="V31" s="48"/>
      <c r="W31" s="12"/>
      <c r="X31" s="12"/>
      <c r="Y31" s="12"/>
      <c r="Z31" s="12"/>
    </row>
    <row r="32" ht="15.75" customHeight="1">
      <c r="A32" s="12"/>
      <c r="B32" s="40" t="s">
        <v>107</v>
      </c>
      <c r="C32" s="44">
        <v>50360.61</v>
      </c>
      <c r="D32" s="44">
        <v>41012.88</v>
      </c>
      <c r="E32" s="44">
        <v>16369.47</v>
      </c>
      <c r="F32" s="44">
        <v>20081.53</v>
      </c>
      <c r="G32" s="45">
        <v>39659.4</v>
      </c>
      <c r="I32" s="40" t="s">
        <v>108</v>
      </c>
      <c r="J32" s="44">
        <v>62565.91</v>
      </c>
      <c r="K32" s="44">
        <v>60186.13</v>
      </c>
      <c r="L32" s="44">
        <v>66951.34</v>
      </c>
      <c r="M32" s="44">
        <v>59356.81</v>
      </c>
      <c r="N32" s="45">
        <v>52438.29</v>
      </c>
      <c r="O32" s="12"/>
      <c r="P32" s="12"/>
      <c r="Q32" s="12"/>
      <c r="R32" s="48"/>
      <c r="S32" s="48"/>
      <c r="T32" s="48"/>
      <c r="U32" s="48"/>
      <c r="V32" s="48"/>
      <c r="W32" s="12"/>
      <c r="X32" s="12"/>
      <c r="Y32" s="12"/>
      <c r="Z32" s="12"/>
    </row>
    <row r="33" ht="15.75" customHeight="1">
      <c r="A33" s="12"/>
      <c r="B33" s="40" t="s">
        <v>109</v>
      </c>
      <c r="C33" s="44">
        <v>11566.46</v>
      </c>
      <c r="D33" s="44">
        <v>734.25</v>
      </c>
      <c r="E33" s="44">
        <v>5156.35</v>
      </c>
      <c r="F33" s="44">
        <v>6924.15</v>
      </c>
      <c r="G33" s="45">
        <v>13238.24</v>
      </c>
      <c r="I33" s="40" t="s">
        <v>110</v>
      </c>
      <c r="J33" s="44">
        <v>39406.47</v>
      </c>
      <c r="K33" s="44">
        <v>33533.12</v>
      </c>
      <c r="L33" s="44">
        <v>31921.01</v>
      </c>
      <c r="M33" s="44">
        <v>29036.74</v>
      </c>
      <c r="N33" s="45">
        <v>25210.4</v>
      </c>
      <c r="O33" s="12"/>
      <c r="P33" s="12"/>
      <c r="Q33" s="12"/>
      <c r="R33" s="48"/>
      <c r="S33" s="48"/>
      <c r="T33" s="48"/>
      <c r="U33" s="48"/>
      <c r="V33" s="48"/>
      <c r="W33" s="12"/>
      <c r="X33" s="12"/>
      <c r="Y33" s="12"/>
      <c r="Z33" s="12"/>
    </row>
    <row r="34" ht="15.75" customHeight="1">
      <c r="A34" s="12"/>
      <c r="B34" s="34" t="s">
        <v>111</v>
      </c>
      <c r="C34" s="46">
        <v>38828.87</v>
      </c>
      <c r="D34" s="46">
        <v>40305.74</v>
      </c>
      <c r="E34" s="46">
        <v>11246.44</v>
      </c>
      <c r="F34" s="46">
        <v>13444.54</v>
      </c>
      <c r="G34" s="47">
        <v>26715.79</v>
      </c>
      <c r="I34" s="40" t="s">
        <v>112</v>
      </c>
      <c r="J34" s="44">
        <v>101972.38</v>
      </c>
      <c r="K34" s="44">
        <v>93719.25</v>
      </c>
      <c r="L34" s="44">
        <v>98872.35</v>
      </c>
      <c r="M34" s="44">
        <v>88393.55</v>
      </c>
      <c r="N34" s="45">
        <v>77648.69</v>
      </c>
      <c r="O34" s="12"/>
      <c r="P34" s="12"/>
      <c r="Q34" s="12"/>
      <c r="R34" s="48"/>
      <c r="S34" s="48"/>
      <c r="T34" s="48"/>
      <c r="U34" s="48"/>
      <c r="V34" s="48"/>
      <c r="W34" s="12"/>
      <c r="X34" s="12"/>
      <c r="Y34" s="12"/>
      <c r="Z34" s="12"/>
    </row>
    <row r="35" ht="15.75" customHeight="1">
      <c r="A35" s="12"/>
      <c r="B35" s="40" t="s">
        <v>113</v>
      </c>
      <c r="C35" s="44">
        <v>66280.08</v>
      </c>
      <c r="D35" s="44">
        <v>52228.87</v>
      </c>
      <c r="E35" s="44">
        <v>35421.59</v>
      </c>
      <c r="F35" s="44">
        <v>47660.7</v>
      </c>
      <c r="G35" s="45">
        <v>51646.8</v>
      </c>
      <c r="I35" s="34" t="s">
        <v>114</v>
      </c>
      <c r="J35" s="46">
        <v>-7903.9</v>
      </c>
      <c r="K35" s="46">
        <v>-20534.53</v>
      </c>
      <c r="L35" s="46">
        <v>-33444.05</v>
      </c>
      <c r="M35" s="46">
        <v>-28067.39</v>
      </c>
      <c r="N35" s="47">
        <v>-19764.76</v>
      </c>
      <c r="O35" s="12"/>
      <c r="P35" s="12"/>
      <c r="Q35" s="12"/>
      <c r="R35" s="48"/>
      <c r="S35" s="48"/>
      <c r="T35" s="48"/>
      <c r="U35" s="48"/>
      <c r="V35" s="48"/>
      <c r="W35" s="12"/>
      <c r="X35" s="12"/>
      <c r="Y35" s="12"/>
      <c r="Z35" s="12"/>
    </row>
    <row r="36" ht="15.75" customHeight="1">
      <c r="A36" s="12"/>
      <c r="B36" s="40" t="s">
        <v>115</v>
      </c>
      <c r="C36" s="44">
        <v>17612.47</v>
      </c>
      <c r="D36" s="44">
        <v>11448.13</v>
      </c>
      <c r="E36" s="44">
        <v>2201.55</v>
      </c>
      <c r="F36" s="44">
        <v>7233.67</v>
      </c>
      <c r="G36" s="45">
        <v>9595.18</v>
      </c>
      <c r="I36" s="34" t="s">
        <v>116</v>
      </c>
      <c r="J36" s="46">
        <v>265064.72</v>
      </c>
      <c r="K36" s="46">
        <v>243544.99</v>
      </c>
      <c r="L36" s="46">
        <v>219581.23</v>
      </c>
      <c r="M36" s="46">
        <v>208287.2</v>
      </c>
      <c r="N36" s="47">
        <v>224586.13</v>
      </c>
      <c r="O36" s="12"/>
      <c r="P36" s="12"/>
      <c r="Q36" s="12"/>
      <c r="R36" s="48"/>
      <c r="S36" s="48"/>
      <c r="T36" s="48"/>
      <c r="U36" s="48"/>
      <c r="V36" s="48"/>
      <c r="W36" s="12"/>
      <c r="X36" s="12"/>
      <c r="Y36" s="12"/>
      <c r="Z36" s="12"/>
    </row>
    <row r="37" ht="15.75" customHeight="1">
      <c r="A37" s="12"/>
      <c r="B37" s="40" t="s">
        <v>117</v>
      </c>
      <c r="C37" s="44">
        <v>0.0</v>
      </c>
      <c r="D37" s="44">
        <v>0.0</v>
      </c>
      <c r="E37" s="44">
        <v>0.0</v>
      </c>
      <c r="F37" s="44">
        <v>1201.45</v>
      </c>
      <c r="G37" s="45">
        <v>1684.46</v>
      </c>
      <c r="I37" s="37"/>
      <c r="J37" s="38"/>
      <c r="K37" s="38"/>
      <c r="L37" s="38"/>
      <c r="M37" s="38"/>
      <c r="N37" s="39"/>
      <c r="O37" s="49"/>
      <c r="P37" s="49"/>
      <c r="Q37" s="49"/>
      <c r="R37" s="50"/>
      <c r="S37" s="50"/>
      <c r="T37" s="48"/>
      <c r="U37" s="48"/>
      <c r="V37" s="48"/>
      <c r="W37" s="12"/>
      <c r="X37" s="12"/>
      <c r="Y37" s="12"/>
      <c r="Z37" s="12"/>
    </row>
    <row r="38" ht="15.75" customHeight="1">
      <c r="A38" s="12"/>
      <c r="B38" s="51" t="s">
        <v>118</v>
      </c>
      <c r="C38" s="18"/>
      <c r="D38" s="46"/>
      <c r="E38" s="46"/>
      <c r="F38" s="46"/>
      <c r="G38" s="47"/>
      <c r="I38" s="40" t="s">
        <v>119</v>
      </c>
      <c r="J38" s="44">
        <v>76267.04</v>
      </c>
      <c r="K38" s="44">
        <v>84271.41</v>
      </c>
      <c r="L38" s="44">
        <v>91576.91</v>
      </c>
      <c r="M38" s="44">
        <v>95668.02</v>
      </c>
      <c r="N38" s="45">
        <v>93825.42</v>
      </c>
      <c r="O38" s="12"/>
      <c r="P38" s="12"/>
      <c r="Q38" s="12"/>
      <c r="R38" s="48"/>
      <c r="S38" s="48"/>
      <c r="T38" s="48"/>
      <c r="U38" s="48"/>
      <c r="V38" s="48"/>
      <c r="W38" s="12"/>
      <c r="X38" s="12"/>
      <c r="Y38" s="12"/>
      <c r="Z38" s="12"/>
    </row>
    <row r="39" ht="15.75" customHeight="1">
      <c r="A39" s="12"/>
      <c r="B39" s="40" t="s">
        <v>120</v>
      </c>
      <c r="C39" s="44">
        <v>125802.79</v>
      </c>
      <c r="D39" s="44">
        <v>125802.79</v>
      </c>
      <c r="E39" s="44">
        <v>125802.79</v>
      </c>
      <c r="F39" s="44">
        <v>125802.79</v>
      </c>
      <c r="G39" s="45">
        <v>125802.79</v>
      </c>
      <c r="I39" s="40" t="s">
        <v>121</v>
      </c>
      <c r="J39" s="41">
        <v>204.96</v>
      </c>
      <c r="K39" s="41">
        <v>188.51</v>
      </c>
      <c r="L39" s="41">
        <v>162.6</v>
      </c>
      <c r="M39" s="41">
        <v>154.48</v>
      </c>
      <c r="N39" s="42">
        <v>161.36</v>
      </c>
      <c r="O39" s="12"/>
      <c r="P39" s="12"/>
      <c r="Q39" s="12"/>
      <c r="R39" s="48"/>
      <c r="S39" s="48"/>
      <c r="T39" s="48"/>
      <c r="U39" s="48"/>
      <c r="V39" s="48"/>
      <c r="W39" s="12"/>
      <c r="X39" s="12"/>
      <c r="Y39" s="12"/>
      <c r="Z39" s="12"/>
    </row>
    <row r="40" ht="15.75" customHeight="1">
      <c r="A40" s="12"/>
      <c r="B40" s="34" t="s">
        <v>122</v>
      </c>
      <c r="C40" s="46">
        <v>30.86</v>
      </c>
      <c r="D40" s="46">
        <v>32.04</v>
      </c>
      <c r="E40" s="46">
        <v>8.94</v>
      </c>
      <c r="F40" s="46">
        <v>10.69</v>
      </c>
      <c r="G40" s="47">
        <v>21.24</v>
      </c>
      <c r="I40" s="37"/>
      <c r="J40" s="38"/>
      <c r="K40" s="38"/>
      <c r="L40" s="38"/>
      <c r="M40" s="38"/>
      <c r="N40" s="39"/>
      <c r="O40" s="12"/>
      <c r="P40" s="12"/>
      <c r="Q40" s="12"/>
      <c r="R40" s="48"/>
      <c r="S40" s="48"/>
      <c r="T40" s="48"/>
      <c r="U40" s="48"/>
      <c r="V40" s="48"/>
      <c r="W40" s="12"/>
      <c r="X40" s="12"/>
      <c r="Y40" s="12"/>
      <c r="Z40" s="12"/>
    </row>
    <row r="41" ht="15.75" customHeight="1">
      <c r="A41" s="12"/>
      <c r="B41" s="40" t="s">
        <v>123</v>
      </c>
      <c r="C41" s="44">
        <v>225.0</v>
      </c>
      <c r="D41" s="44">
        <v>210.0</v>
      </c>
      <c r="E41" s="44">
        <v>72.0</v>
      </c>
      <c r="F41" s="44">
        <v>100.0</v>
      </c>
      <c r="G41" s="45">
        <v>140.0</v>
      </c>
      <c r="I41" s="37"/>
      <c r="J41" s="38"/>
      <c r="K41" s="38"/>
      <c r="L41" s="38"/>
      <c r="M41" s="38"/>
      <c r="N41" s="39"/>
      <c r="O41" s="12"/>
      <c r="P41" s="12"/>
      <c r="Q41" s="12"/>
      <c r="R41" s="48"/>
      <c r="S41" s="48"/>
      <c r="T41" s="48"/>
      <c r="U41" s="48"/>
      <c r="V41" s="48"/>
      <c r="W41" s="12"/>
      <c r="X41" s="12"/>
      <c r="Y41" s="12"/>
      <c r="Z41" s="12"/>
    </row>
    <row r="42" ht="15.75" customHeight="1">
      <c r="A42" s="12"/>
      <c r="B42" s="52" t="s">
        <v>121</v>
      </c>
      <c r="C42" s="53">
        <v>204.96</v>
      </c>
      <c r="D42" s="54">
        <v>188.51</v>
      </c>
      <c r="E42" s="54">
        <v>162.6</v>
      </c>
      <c r="F42" s="54">
        <v>154.48</v>
      </c>
      <c r="G42" s="55">
        <v>161.36</v>
      </c>
      <c r="I42" s="56"/>
      <c r="J42" s="57"/>
      <c r="K42" s="57"/>
      <c r="L42" s="57"/>
      <c r="M42" s="57"/>
      <c r="N42" s="58"/>
      <c r="O42" s="12"/>
      <c r="P42" s="12"/>
      <c r="Q42" s="12"/>
      <c r="R42" s="48"/>
      <c r="S42" s="48"/>
      <c r="T42" s="48"/>
      <c r="U42" s="48"/>
      <c r="V42" s="48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48"/>
      <c r="S43" s="48"/>
      <c r="T43" s="48"/>
      <c r="U43" s="48"/>
      <c r="V43" s="48"/>
      <c r="W43" s="12"/>
      <c r="X43" s="12"/>
      <c r="Y43" s="12"/>
      <c r="Z43" s="12"/>
    </row>
    <row r="44" ht="15.75" customHeight="1">
      <c r="A44" s="12"/>
      <c r="B44" s="12" t="s">
        <v>124</v>
      </c>
      <c r="C44" s="59">
        <v>154.5</v>
      </c>
      <c r="D44" s="60">
        <v>163.9</v>
      </c>
      <c r="E44" s="60">
        <v>103.0</v>
      </c>
      <c r="F44" s="60">
        <v>67.0</v>
      </c>
      <c r="G44" s="59">
        <v>160.5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48"/>
      <c r="S44" s="48"/>
      <c r="T44" s="48"/>
      <c r="U44" s="48"/>
      <c r="V44" s="48"/>
      <c r="W44" s="12"/>
      <c r="X44" s="12"/>
      <c r="Y44" s="12"/>
      <c r="Z44" s="12"/>
    </row>
    <row r="45" ht="15.75" customHeight="1">
      <c r="A45" s="12"/>
      <c r="B45" s="12"/>
      <c r="C45" s="12"/>
      <c r="D45" s="61"/>
      <c r="E45" s="61"/>
      <c r="F45" s="6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48"/>
      <c r="S45" s="48"/>
      <c r="T45" s="48"/>
      <c r="U45" s="48"/>
      <c r="V45" s="48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48"/>
      <c r="S46" s="48"/>
      <c r="T46" s="48"/>
      <c r="U46" s="48"/>
      <c r="V46" s="48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48"/>
      <c r="S47" s="48"/>
      <c r="T47" s="48"/>
      <c r="U47" s="48"/>
      <c r="V47" s="48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48"/>
      <c r="S48" s="48"/>
      <c r="T48" s="48"/>
      <c r="U48" s="48"/>
      <c r="V48" s="48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48"/>
      <c r="S49" s="48"/>
      <c r="T49" s="48"/>
      <c r="U49" s="48"/>
      <c r="V49" s="48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48"/>
      <c r="S50" s="48"/>
      <c r="T50" s="48"/>
      <c r="U50" s="48"/>
      <c r="V50" s="48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48"/>
      <c r="S51" s="48"/>
      <c r="T51" s="48"/>
      <c r="U51" s="48"/>
      <c r="V51" s="48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48"/>
      <c r="S52" s="48"/>
      <c r="T52" s="48"/>
      <c r="U52" s="48"/>
      <c r="V52" s="48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48"/>
      <c r="S53" s="48"/>
      <c r="T53" s="48"/>
      <c r="U53" s="48"/>
      <c r="V53" s="48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48"/>
      <c r="S54" s="48"/>
      <c r="T54" s="48"/>
      <c r="U54" s="48"/>
      <c r="V54" s="48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48"/>
      <c r="S55" s="48"/>
      <c r="T55" s="48"/>
      <c r="U55" s="48"/>
      <c r="V55" s="48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48"/>
      <c r="S56" s="48"/>
      <c r="T56" s="48"/>
      <c r="U56" s="48"/>
      <c r="V56" s="48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48"/>
      <c r="S57" s="48"/>
      <c r="T57" s="48"/>
      <c r="U57" s="48"/>
      <c r="V57" s="48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48"/>
      <c r="S58" s="48"/>
      <c r="T58" s="48"/>
      <c r="U58" s="48"/>
      <c r="V58" s="48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48"/>
      <c r="S59" s="48"/>
      <c r="T59" s="48"/>
      <c r="U59" s="48"/>
      <c r="V59" s="48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48"/>
      <c r="S60" s="48"/>
      <c r="T60" s="48"/>
      <c r="U60" s="48"/>
      <c r="V60" s="48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48"/>
      <c r="S61" s="48"/>
      <c r="T61" s="48"/>
      <c r="U61" s="48"/>
      <c r="V61" s="48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48"/>
      <c r="S62" s="48"/>
      <c r="T62" s="48"/>
      <c r="U62" s="48"/>
      <c r="V62" s="48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48"/>
      <c r="S63" s="48"/>
      <c r="T63" s="48"/>
      <c r="U63" s="48"/>
      <c r="V63" s="48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48"/>
      <c r="S64" s="48"/>
      <c r="T64" s="48"/>
      <c r="U64" s="48"/>
      <c r="V64" s="48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48"/>
      <c r="S65" s="48"/>
      <c r="T65" s="48"/>
      <c r="U65" s="48"/>
      <c r="V65" s="48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48"/>
      <c r="S66" s="48"/>
      <c r="T66" s="48"/>
      <c r="U66" s="48"/>
      <c r="V66" s="48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48"/>
      <c r="S67" s="48"/>
      <c r="T67" s="48"/>
      <c r="U67" s="48"/>
      <c r="V67" s="48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48"/>
      <c r="S68" s="48"/>
      <c r="T68" s="48"/>
      <c r="U68" s="48"/>
      <c r="V68" s="48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48"/>
      <c r="S69" s="48"/>
      <c r="T69" s="48"/>
      <c r="U69" s="48"/>
      <c r="V69" s="48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48"/>
      <c r="S70" s="48"/>
      <c r="T70" s="48"/>
      <c r="U70" s="48"/>
      <c r="V70" s="48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48"/>
      <c r="S71" s="48"/>
      <c r="T71" s="48"/>
      <c r="U71" s="48"/>
      <c r="V71" s="48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48"/>
      <c r="S72" s="48"/>
      <c r="T72" s="48"/>
      <c r="U72" s="48"/>
      <c r="V72" s="48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48"/>
      <c r="S73" s="48"/>
      <c r="T73" s="48"/>
      <c r="U73" s="48"/>
      <c r="V73" s="48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48"/>
      <c r="S74" s="48"/>
      <c r="T74" s="48"/>
      <c r="U74" s="48"/>
      <c r="V74" s="48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48"/>
      <c r="S75" s="48"/>
      <c r="T75" s="48"/>
      <c r="U75" s="48"/>
      <c r="V75" s="48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48"/>
      <c r="S76" s="48"/>
      <c r="T76" s="48"/>
      <c r="U76" s="48"/>
      <c r="V76" s="48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48"/>
      <c r="S77" s="48"/>
      <c r="T77" s="48"/>
      <c r="U77" s="48"/>
      <c r="V77" s="48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48"/>
      <c r="S78" s="48"/>
      <c r="T78" s="48"/>
      <c r="U78" s="48"/>
      <c r="V78" s="48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48"/>
      <c r="S79" s="48"/>
      <c r="T79" s="48"/>
      <c r="U79" s="48"/>
      <c r="V79" s="48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48"/>
      <c r="S80" s="48"/>
      <c r="T80" s="48"/>
      <c r="U80" s="48"/>
      <c r="V80" s="48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48"/>
      <c r="S81" s="48"/>
      <c r="T81" s="48"/>
      <c r="U81" s="48"/>
      <c r="V81" s="48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48"/>
      <c r="S82" s="48"/>
      <c r="T82" s="48"/>
      <c r="U82" s="48"/>
      <c r="V82" s="48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48"/>
      <c r="S83" s="48"/>
      <c r="T83" s="48"/>
      <c r="U83" s="48"/>
      <c r="V83" s="48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48"/>
      <c r="S84" s="48"/>
      <c r="T84" s="48"/>
      <c r="U84" s="48"/>
      <c r="V84" s="48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48"/>
      <c r="S85" s="48"/>
      <c r="T85" s="48"/>
      <c r="U85" s="48"/>
      <c r="V85" s="48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48"/>
      <c r="S86" s="48"/>
      <c r="T86" s="48"/>
      <c r="U86" s="48"/>
      <c r="V86" s="48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48"/>
      <c r="S87" s="48"/>
      <c r="T87" s="48"/>
      <c r="U87" s="48"/>
      <c r="V87" s="48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48"/>
      <c r="S88" s="48"/>
      <c r="T88" s="48"/>
      <c r="U88" s="48"/>
      <c r="V88" s="48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48"/>
      <c r="S89" s="48"/>
      <c r="T89" s="48"/>
      <c r="U89" s="48"/>
      <c r="V89" s="48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48"/>
      <c r="S90" s="48"/>
      <c r="T90" s="48"/>
      <c r="U90" s="48"/>
      <c r="V90" s="48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48"/>
      <c r="S91" s="48"/>
      <c r="T91" s="48"/>
      <c r="U91" s="48"/>
      <c r="V91" s="48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48"/>
      <c r="S92" s="48"/>
      <c r="T92" s="48"/>
      <c r="U92" s="48"/>
      <c r="V92" s="48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48"/>
      <c r="S93" s="48"/>
      <c r="T93" s="48"/>
      <c r="U93" s="48"/>
      <c r="V93" s="48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48"/>
      <c r="S94" s="48"/>
      <c r="T94" s="48"/>
      <c r="U94" s="48"/>
      <c r="V94" s="48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48"/>
      <c r="S95" s="48"/>
      <c r="T95" s="48"/>
      <c r="U95" s="48"/>
      <c r="V95" s="48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48"/>
      <c r="S96" s="48"/>
      <c r="T96" s="48"/>
      <c r="U96" s="48"/>
      <c r="V96" s="48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48"/>
      <c r="S97" s="48"/>
      <c r="T97" s="48"/>
      <c r="U97" s="48"/>
      <c r="V97" s="48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48"/>
      <c r="S98" s="48"/>
      <c r="T98" s="48"/>
      <c r="U98" s="48"/>
      <c r="V98" s="48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48"/>
      <c r="S99" s="48"/>
      <c r="T99" s="48"/>
      <c r="U99" s="48"/>
      <c r="V99" s="48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48"/>
      <c r="S100" s="48"/>
      <c r="T100" s="48"/>
      <c r="U100" s="48"/>
      <c r="V100" s="48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48"/>
      <c r="S101" s="48"/>
      <c r="T101" s="48"/>
      <c r="U101" s="48"/>
      <c r="V101" s="48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48"/>
      <c r="S102" s="48"/>
      <c r="T102" s="48"/>
      <c r="U102" s="48"/>
      <c r="V102" s="48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48"/>
      <c r="S103" s="48"/>
      <c r="T103" s="48"/>
      <c r="U103" s="48"/>
      <c r="V103" s="48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48"/>
      <c r="S104" s="48"/>
      <c r="T104" s="48"/>
      <c r="U104" s="48"/>
      <c r="V104" s="48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48"/>
      <c r="S105" s="48"/>
      <c r="T105" s="48"/>
      <c r="U105" s="48"/>
      <c r="V105" s="48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48"/>
      <c r="S106" s="48"/>
      <c r="T106" s="48"/>
      <c r="U106" s="48"/>
      <c r="V106" s="48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48"/>
      <c r="S107" s="48"/>
      <c r="T107" s="48"/>
      <c r="U107" s="48"/>
      <c r="V107" s="48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48"/>
      <c r="S108" s="48"/>
      <c r="T108" s="48"/>
      <c r="U108" s="48"/>
      <c r="V108" s="48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48"/>
      <c r="S109" s="48"/>
      <c r="T109" s="48"/>
      <c r="U109" s="48"/>
      <c r="V109" s="48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48"/>
      <c r="S110" s="48"/>
      <c r="T110" s="48"/>
      <c r="U110" s="48"/>
      <c r="V110" s="48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48"/>
      <c r="S111" s="48"/>
      <c r="T111" s="48"/>
      <c r="U111" s="48"/>
      <c r="V111" s="48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48"/>
      <c r="S112" s="48"/>
      <c r="T112" s="48"/>
      <c r="U112" s="48"/>
      <c r="V112" s="48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48"/>
      <c r="S113" s="48"/>
      <c r="T113" s="48"/>
      <c r="U113" s="48"/>
      <c r="V113" s="48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48"/>
      <c r="S114" s="48"/>
      <c r="T114" s="48"/>
      <c r="U114" s="48"/>
      <c r="V114" s="48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48"/>
      <c r="S115" s="48"/>
      <c r="T115" s="48"/>
      <c r="U115" s="48"/>
      <c r="V115" s="48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48"/>
      <c r="S116" s="48"/>
      <c r="T116" s="48"/>
      <c r="U116" s="48"/>
      <c r="V116" s="48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48"/>
      <c r="S117" s="48"/>
      <c r="T117" s="48"/>
      <c r="U117" s="48"/>
      <c r="V117" s="48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48"/>
      <c r="S118" s="48"/>
      <c r="T118" s="48"/>
      <c r="U118" s="48"/>
      <c r="V118" s="48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48"/>
      <c r="S119" s="48"/>
      <c r="T119" s="48"/>
      <c r="U119" s="48"/>
      <c r="V119" s="48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48"/>
      <c r="S120" s="48"/>
      <c r="T120" s="48"/>
      <c r="U120" s="48"/>
      <c r="V120" s="48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48"/>
      <c r="S121" s="48"/>
      <c r="T121" s="48"/>
      <c r="U121" s="48"/>
      <c r="V121" s="48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48"/>
      <c r="S122" s="48"/>
      <c r="T122" s="48"/>
      <c r="U122" s="48"/>
      <c r="V122" s="48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48"/>
      <c r="S123" s="48"/>
      <c r="T123" s="48"/>
      <c r="U123" s="48"/>
      <c r="V123" s="48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48"/>
      <c r="S124" s="48"/>
      <c r="T124" s="48"/>
      <c r="U124" s="48"/>
      <c r="V124" s="48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48"/>
      <c r="S125" s="48"/>
      <c r="T125" s="48"/>
      <c r="U125" s="48"/>
      <c r="V125" s="48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48"/>
      <c r="S126" s="48"/>
      <c r="T126" s="48"/>
      <c r="U126" s="48"/>
      <c r="V126" s="48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48"/>
      <c r="S127" s="48"/>
      <c r="T127" s="48"/>
      <c r="U127" s="48"/>
      <c r="V127" s="48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48"/>
      <c r="S128" s="48"/>
      <c r="T128" s="48"/>
      <c r="U128" s="48"/>
      <c r="V128" s="48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48"/>
      <c r="S129" s="48"/>
      <c r="T129" s="48"/>
      <c r="U129" s="48"/>
      <c r="V129" s="48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48"/>
      <c r="S130" s="48"/>
      <c r="T130" s="48"/>
      <c r="U130" s="48"/>
      <c r="V130" s="48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48"/>
      <c r="S131" s="48"/>
      <c r="T131" s="48"/>
      <c r="U131" s="48"/>
      <c r="V131" s="48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48"/>
      <c r="S132" s="48"/>
      <c r="T132" s="48"/>
      <c r="U132" s="48"/>
      <c r="V132" s="48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48"/>
      <c r="S133" s="48"/>
      <c r="T133" s="48"/>
      <c r="U133" s="48"/>
      <c r="V133" s="48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48"/>
      <c r="S134" s="48"/>
      <c r="T134" s="48"/>
      <c r="U134" s="48"/>
      <c r="V134" s="48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48"/>
      <c r="S135" s="48"/>
      <c r="T135" s="48"/>
      <c r="U135" s="48"/>
      <c r="V135" s="48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48"/>
      <c r="S136" s="48"/>
      <c r="T136" s="48"/>
      <c r="U136" s="48"/>
      <c r="V136" s="48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48"/>
      <c r="S137" s="48"/>
      <c r="T137" s="48"/>
      <c r="U137" s="48"/>
      <c r="V137" s="48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48"/>
      <c r="S138" s="48"/>
      <c r="T138" s="48"/>
      <c r="U138" s="48"/>
      <c r="V138" s="48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48"/>
      <c r="S139" s="48"/>
      <c r="T139" s="48"/>
      <c r="U139" s="48"/>
      <c r="V139" s="48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48"/>
      <c r="S140" s="48"/>
      <c r="T140" s="48"/>
      <c r="U140" s="48"/>
      <c r="V140" s="48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48"/>
      <c r="S141" s="48"/>
      <c r="T141" s="48"/>
      <c r="U141" s="48"/>
      <c r="V141" s="48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48"/>
      <c r="S142" s="48"/>
      <c r="T142" s="48"/>
      <c r="U142" s="48"/>
      <c r="V142" s="48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48"/>
      <c r="S143" s="48"/>
      <c r="T143" s="48"/>
      <c r="U143" s="48"/>
      <c r="V143" s="48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48"/>
      <c r="S144" s="48"/>
      <c r="T144" s="48"/>
      <c r="U144" s="48"/>
      <c r="V144" s="48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48"/>
      <c r="S145" s="48"/>
      <c r="T145" s="48"/>
      <c r="U145" s="48"/>
      <c r="V145" s="48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48"/>
      <c r="S146" s="48"/>
      <c r="T146" s="48"/>
      <c r="U146" s="48"/>
      <c r="V146" s="48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48"/>
      <c r="S147" s="48"/>
      <c r="T147" s="48"/>
      <c r="U147" s="48"/>
      <c r="V147" s="48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48"/>
      <c r="S148" s="48"/>
      <c r="T148" s="48"/>
      <c r="U148" s="48"/>
      <c r="V148" s="48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48"/>
      <c r="S149" s="48"/>
      <c r="T149" s="48"/>
      <c r="U149" s="48"/>
      <c r="V149" s="48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48"/>
      <c r="S150" s="48"/>
      <c r="T150" s="48"/>
      <c r="U150" s="48"/>
      <c r="V150" s="48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48"/>
      <c r="S151" s="48"/>
      <c r="T151" s="48"/>
      <c r="U151" s="48"/>
      <c r="V151" s="48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48"/>
      <c r="S152" s="48"/>
      <c r="T152" s="48"/>
      <c r="U152" s="48"/>
      <c r="V152" s="48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48"/>
      <c r="S153" s="48"/>
      <c r="T153" s="48"/>
      <c r="U153" s="48"/>
      <c r="V153" s="48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48"/>
      <c r="S154" s="48"/>
      <c r="T154" s="48"/>
      <c r="U154" s="48"/>
      <c r="V154" s="48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48"/>
      <c r="S155" s="48"/>
      <c r="T155" s="48"/>
      <c r="U155" s="48"/>
      <c r="V155" s="48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48"/>
      <c r="S156" s="48"/>
      <c r="T156" s="48"/>
      <c r="U156" s="48"/>
      <c r="V156" s="48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48"/>
      <c r="S157" s="48"/>
      <c r="T157" s="48"/>
      <c r="U157" s="48"/>
      <c r="V157" s="48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48"/>
      <c r="S158" s="48"/>
      <c r="T158" s="48"/>
      <c r="U158" s="48"/>
      <c r="V158" s="48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48"/>
      <c r="S159" s="48"/>
      <c r="T159" s="48"/>
      <c r="U159" s="48"/>
      <c r="V159" s="48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48"/>
      <c r="S160" s="48"/>
      <c r="T160" s="48"/>
      <c r="U160" s="48"/>
      <c r="V160" s="48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48"/>
      <c r="S161" s="48"/>
      <c r="T161" s="48"/>
      <c r="U161" s="48"/>
      <c r="V161" s="48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48"/>
      <c r="S162" s="48"/>
      <c r="T162" s="48"/>
      <c r="U162" s="48"/>
      <c r="V162" s="48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48"/>
      <c r="S163" s="48"/>
      <c r="T163" s="48"/>
      <c r="U163" s="48"/>
      <c r="V163" s="48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48"/>
      <c r="S164" s="48"/>
      <c r="T164" s="48"/>
      <c r="U164" s="48"/>
      <c r="V164" s="48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48"/>
      <c r="S165" s="48"/>
      <c r="T165" s="48"/>
      <c r="U165" s="48"/>
      <c r="V165" s="48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48"/>
      <c r="S166" s="48"/>
      <c r="T166" s="48"/>
      <c r="U166" s="48"/>
      <c r="V166" s="48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48"/>
      <c r="S167" s="48"/>
      <c r="T167" s="48"/>
      <c r="U167" s="48"/>
      <c r="V167" s="48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48"/>
      <c r="S168" s="48"/>
      <c r="T168" s="48"/>
      <c r="U168" s="48"/>
      <c r="V168" s="48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48"/>
      <c r="S169" s="48"/>
      <c r="T169" s="48"/>
      <c r="U169" s="48"/>
      <c r="V169" s="48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48"/>
      <c r="S170" s="48"/>
      <c r="T170" s="48"/>
      <c r="U170" s="48"/>
      <c r="V170" s="48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48"/>
      <c r="S171" s="48"/>
      <c r="T171" s="48"/>
      <c r="U171" s="48"/>
      <c r="V171" s="48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48"/>
      <c r="S172" s="48"/>
      <c r="T172" s="48"/>
      <c r="U172" s="48"/>
      <c r="V172" s="48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48"/>
      <c r="S173" s="48"/>
      <c r="T173" s="48"/>
      <c r="U173" s="48"/>
      <c r="V173" s="48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48"/>
      <c r="S174" s="48"/>
      <c r="T174" s="48"/>
      <c r="U174" s="48"/>
      <c r="V174" s="48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48"/>
      <c r="S175" s="48"/>
      <c r="T175" s="48"/>
      <c r="U175" s="48"/>
      <c r="V175" s="48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48"/>
      <c r="S176" s="48"/>
      <c r="T176" s="48"/>
      <c r="U176" s="48"/>
      <c r="V176" s="48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48"/>
      <c r="S177" s="48"/>
      <c r="T177" s="48"/>
      <c r="U177" s="48"/>
      <c r="V177" s="48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48"/>
      <c r="S178" s="48"/>
      <c r="T178" s="48"/>
      <c r="U178" s="48"/>
      <c r="V178" s="48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48"/>
      <c r="S179" s="48"/>
      <c r="T179" s="48"/>
      <c r="U179" s="48"/>
      <c r="V179" s="48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48"/>
      <c r="S180" s="48"/>
      <c r="T180" s="48"/>
      <c r="U180" s="48"/>
      <c r="V180" s="48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48"/>
      <c r="S181" s="48"/>
      <c r="T181" s="48"/>
      <c r="U181" s="48"/>
      <c r="V181" s="48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48"/>
      <c r="S182" s="48"/>
      <c r="T182" s="48"/>
      <c r="U182" s="48"/>
      <c r="V182" s="48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48"/>
      <c r="S183" s="48"/>
      <c r="T183" s="48"/>
      <c r="U183" s="48"/>
      <c r="V183" s="48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48"/>
      <c r="S184" s="48"/>
      <c r="T184" s="48"/>
      <c r="U184" s="48"/>
      <c r="V184" s="48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48"/>
      <c r="S185" s="48"/>
      <c r="T185" s="48"/>
      <c r="U185" s="48"/>
      <c r="V185" s="48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48"/>
      <c r="S186" s="48"/>
      <c r="T186" s="48"/>
      <c r="U186" s="48"/>
      <c r="V186" s="48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48"/>
      <c r="S187" s="48"/>
      <c r="T187" s="48"/>
      <c r="U187" s="48"/>
      <c r="V187" s="48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48"/>
      <c r="S188" s="48"/>
      <c r="T188" s="48"/>
      <c r="U188" s="48"/>
      <c r="V188" s="48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48"/>
      <c r="S189" s="48"/>
      <c r="T189" s="48"/>
      <c r="U189" s="48"/>
      <c r="V189" s="48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48"/>
      <c r="S190" s="48"/>
      <c r="T190" s="48"/>
      <c r="U190" s="48"/>
      <c r="V190" s="48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48"/>
      <c r="S191" s="48"/>
      <c r="T191" s="48"/>
      <c r="U191" s="48"/>
      <c r="V191" s="48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48"/>
      <c r="S192" s="48"/>
      <c r="T192" s="48"/>
      <c r="U192" s="48"/>
      <c r="V192" s="48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48"/>
      <c r="S193" s="48"/>
      <c r="T193" s="48"/>
      <c r="U193" s="48"/>
      <c r="V193" s="48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48"/>
      <c r="S194" s="48"/>
      <c r="T194" s="48"/>
      <c r="U194" s="48"/>
      <c r="V194" s="48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48"/>
      <c r="S195" s="48"/>
      <c r="T195" s="48"/>
      <c r="U195" s="48"/>
      <c r="V195" s="48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48"/>
      <c r="S196" s="48"/>
      <c r="T196" s="48"/>
      <c r="U196" s="48"/>
      <c r="V196" s="48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48"/>
      <c r="S197" s="48"/>
      <c r="T197" s="48"/>
      <c r="U197" s="48"/>
      <c r="V197" s="48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48"/>
      <c r="S198" s="48"/>
      <c r="T198" s="48"/>
      <c r="U198" s="48"/>
      <c r="V198" s="48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48"/>
      <c r="S199" s="48"/>
      <c r="T199" s="48"/>
      <c r="U199" s="48"/>
      <c r="V199" s="48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48"/>
      <c r="S200" s="48"/>
      <c r="T200" s="48"/>
      <c r="U200" s="48"/>
      <c r="V200" s="48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48"/>
      <c r="S201" s="48"/>
      <c r="T201" s="48"/>
      <c r="U201" s="48"/>
      <c r="V201" s="48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48"/>
      <c r="S202" s="48"/>
      <c r="T202" s="48"/>
      <c r="U202" s="48"/>
      <c r="V202" s="48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48"/>
      <c r="S203" s="48"/>
      <c r="T203" s="48"/>
      <c r="U203" s="48"/>
      <c r="V203" s="48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48"/>
      <c r="S204" s="48"/>
      <c r="T204" s="48"/>
      <c r="U204" s="48"/>
      <c r="V204" s="48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48"/>
      <c r="S205" s="48"/>
      <c r="T205" s="48"/>
      <c r="U205" s="48"/>
      <c r="V205" s="48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48"/>
      <c r="S206" s="48"/>
      <c r="T206" s="48"/>
      <c r="U206" s="48"/>
      <c r="V206" s="48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48"/>
      <c r="S207" s="48"/>
      <c r="T207" s="48"/>
      <c r="U207" s="48"/>
      <c r="V207" s="48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48"/>
      <c r="S208" s="48"/>
      <c r="T208" s="48"/>
      <c r="U208" s="48"/>
      <c r="V208" s="48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48"/>
      <c r="S209" s="48"/>
      <c r="T209" s="48"/>
      <c r="U209" s="48"/>
      <c r="V209" s="48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48"/>
      <c r="S210" s="48"/>
      <c r="T210" s="48"/>
      <c r="U210" s="48"/>
      <c r="V210" s="48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48"/>
      <c r="S211" s="48"/>
      <c r="T211" s="48"/>
      <c r="U211" s="48"/>
      <c r="V211" s="48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48"/>
      <c r="S212" s="48"/>
      <c r="T212" s="48"/>
      <c r="U212" s="48"/>
      <c r="V212" s="48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48"/>
      <c r="S213" s="48"/>
      <c r="T213" s="48"/>
      <c r="U213" s="48"/>
      <c r="V213" s="48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48"/>
      <c r="S214" s="48"/>
      <c r="T214" s="48"/>
      <c r="U214" s="48"/>
      <c r="V214" s="48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48"/>
      <c r="S215" s="48"/>
      <c r="T215" s="48"/>
      <c r="U215" s="48"/>
      <c r="V215" s="48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48"/>
      <c r="S216" s="48"/>
      <c r="T216" s="48"/>
      <c r="U216" s="48"/>
      <c r="V216" s="48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48"/>
      <c r="S217" s="48"/>
      <c r="T217" s="48"/>
      <c r="U217" s="48"/>
      <c r="V217" s="48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48"/>
      <c r="S218" s="48"/>
      <c r="T218" s="48"/>
      <c r="U218" s="48"/>
      <c r="V218" s="48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48"/>
      <c r="S219" s="48"/>
      <c r="T219" s="48"/>
      <c r="U219" s="48"/>
      <c r="V219" s="48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48"/>
      <c r="S220" s="48"/>
      <c r="T220" s="48"/>
      <c r="U220" s="48"/>
      <c r="V220" s="48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48"/>
      <c r="S221" s="48"/>
      <c r="T221" s="48"/>
      <c r="U221" s="48"/>
      <c r="V221" s="48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48"/>
      <c r="S222" s="48"/>
      <c r="T222" s="48"/>
      <c r="U222" s="48"/>
      <c r="V222" s="48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48"/>
      <c r="S223" s="48"/>
      <c r="T223" s="48"/>
      <c r="U223" s="48"/>
      <c r="V223" s="48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48"/>
      <c r="S224" s="48"/>
      <c r="T224" s="48"/>
      <c r="U224" s="48"/>
      <c r="V224" s="48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48"/>
      <c r="S225" s="48"/>
      <c r="T225" s="48"/>
      <c r="U225" s="48"/>
      <c r="V225" s="48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48"/>
      <c r="S226" s="48"/>
      <c r="T226" s="48"/>
      <c r="U226" s="48"/>
      <c r="V226" s="48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48"/>
      <c r="S227" s="48"/>
      <c r="T227" s="48"/>
      <c r="U227" s="48"/>
      <c r="V227" s="48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48"/>
      <c r="S228" s="48"/>
      <c r="T228" s="48"/>
      <c r="U228" s="48"/>
      <c r="V228" s="48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48"/>
      <c r="S229" s="48"/>
      <c r="T229" s="48"/>
      <c r="U229" s="48"/>
      <c r="V229" s="48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48"/>
      <c r="S230" s="48"/>
      <c r="T230" s="48"/>
      <c r="U230" s="48"/>
      <c r="V230" s="48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48"/>
      <c r="S231" s="48"/>
      <c r="T231" s="48"/>
      <c r="U231" s="48"/>
      <c r="V231" s="48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48"/>
      <c r="S232" s="48"/>
      <c r="T232" s="48"/>
      <c r="U232" s="48"/>
      <c r="V232" s="48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48"/>
      <c r="S233" s="48"/>
      <c r="T233" s="48"/>
      <c r="U233" s="48"/>
      <c r="V233" s="48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48"/>
      <c r="S234" s="48"/>
      <c r="T234" s="48"/>
      <c r="U234" s="48"/>
      <c r="V234" s="48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48"/>
      <c r="S235" s="48"/>
      <c r="T235" s="48"/>
      <c r="U235" s="48"/>
      <c r="V235" s="48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48"/>
      <c r="S236" s="48"/>
      <c r="T236" s="48"/>
      <c r="U236" s="48"/>
      <c r="V236" s="48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48"/>
      <c r="S237" s="48"/>
      <c r="T237" s="48"/>
      <c r="U237" s="48"/>
      <c r="V237" s="48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48"/>
      <c r="S238" s="48"/>
      <c r="T238" s="48"/>
      <c r="U238" s="48"/>
      <c r="V238" s="48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48"/>
      <c r="S239" s="48"/>
      <c r="T239" s="48"/>
      <c r="U239" s="48"/>
      <c r="V239" s="48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48"/>
      <c r="S240" s="48"/>
      <c r="T240" s="48"/>
      <c r="U240" s="48"/>
      <c r="V240" s="48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48"/>
      <c r="S241" s="48"/>
      <c r="T241" s="48"/>
      <c r="U241" s="48"/>
      <c r="V241" s="48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48"/>
      <c r="S242" s="48"/>
      <c r="T242" s="48"/>
      <c r="U242" s="48"/>
      <c r="V242" s="48"/>
      <c r="W242" s="12"/>
      <c r="X242" s="12"/>
      <c r="Y242" s="12"/>
      <c r="Z242" s="12"/>
    </row>
    <row r="243" ht="15.75" customHeight="1">
      <c r="R243" s="62"/>
      <c r="S243" s="62"/>
      <c r="T243" s="62"/>
      <c r="U243" s="62"/>
      <c r="V243" s="62"/>
    </row>
    <row r="244" ht="15.75" customHeight="1">
      <c r="R244" s="62"/>
      <c r="S244" s="62"/>
      <c r="T244" s="62"/>
      <c r="U244" s="62"/>
      <c r="V244" s="6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N2"/>
    <mergeCell ref="P1:V1"/>
    <mergeCell ref="H3:H42"/>
    <mergeCell ref="B8:C8"/>
    <mergeCell ref="I8:J8"/>
    <mergeCell ref="B15:C15"/>
    <mergeCell ref="I20:J20"/>
    <mergeCell ref="B38:C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4.88"/>
    <col customWidth="1" min="3" max="6" width="12.63"/>
    <col customWidth="1" min="8" max="8" width="5.25"/>
    <col customWidth="1" min="9" max="9" width="18.25"/>
    <col customWidth="1" min="16" max="16" width="19.75"/>
    <col customWidth="1" min="17" max="17" width="26.13"/>
  </cols>
  <sheetData>
    <row r="1" ht="15.75" customHeight="1">
      <c r="A1" s="12"/>
      <c r="B1" s="63" t="s">
        <v>125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2"/>
      <c r="P1" s="64" t="s">
        <v>125</v>
      </c>
      <c r="Q1" s="17"/>
      <c r="R1" s="17"/>
      <c r="S1" s="17"/>
      <c r="T1" s="17"/>
      <c r="U1" s="17"/>
      <c r="V1" s="18"/>
      <c r="W1" s="12"/>
      <c r="X1" s="12"/>
      <c r="Y1" s="12"/>
      <c r="Z1" s="12"/>
    </row>
    <row r="2" ht="15.75" customHeight="1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2"/>
      <c r="P2" s="65" t="s">
        <v>23</v>
      </c>
      <c r="Q2" s="66" t="s">
        <v>24</v>
      </c>
      <c r="R2" s="67" t="s">
        <v>7</v>
      </c>
      <c r="S2" s="67" t="s">
        <v>8</v>
      </c>
      <c r="T2" s="67" t="s">
        <v>9</v>
      </c>
      <c r="U2" s="67" t="s">
        <v>10</v>
      </c>
      <c r="V2" s="67" t="s">
        <v>11</v>
      </c>
      <c r="W2" s="12"/>
      <c r="X2" s="12"/>
      <c r="Y2" s="12"/>
      <c r="Z2" s="12"/>
    </row>
    <row r="3" ht="15.75" customHeight="1">
      <c r="A3" s="68"/>
      <c r="B3" s="69" t="s">
        <v>25</v>
      </c>
      <c r="C3" s="70" t="s">
        <v>126</v>
      </c>
      <c r="D3" s="71"/>
      <c r="E3" s="71"/>
      <c r="F3" s="71"/>
      <c r="G3" s="72"/>
      <c r="H3" s="73"/>
      <c r="I3" s="69" t="s">
        <v>27</v>
      </c>
      <c r="J3" s="70" t="s">
        <v>26</v>
      </c>
      <c r="K3" s="71"/>
      <c r="L3" s="71"/>
      <c r="M3" s="71"/>
      <c r="N3" s="72"/>
      <c r="O3" s="68"/>
      <c r="P3" s="74" t="s">
        <v>0</v>
      </c>
      <c r="Q3" s="75" t="s">
        <v>29</v>
      </c>
      <c r="R3" s="76">
        <f t="shared" ref="R3:V3" si="1">J29/J32</f>
        <v>0.6692241768</v>
      </c>
      <c r="S3" s="76">
        <f t="shared" si="1"/>
        <v>0.6365087669</v>
      </c>
      <c r="T3" s="76">
        <f t="shared" si="1"/>
        <v>0.6788588088</v>
      </c>
      <c r="U3" s="76">
        <f t="shared" si="1"/>
        <v>0.4976385521</v>
      </c>
      <c r="V3" s="76">
        <f t="shared" si="1"/>
        <v>0.5846504471</v>
      </c>
      <c r="W3" s="68"/>
      <c r="X3" s="68"/>
      <c r="Y3" s="68"/>
      <c r="Z3" s="68"/>
    </row>
    <row r="4" ht="15.75" customHeight="1">
      <c r="A4" s="12"/>
      <c r="B4" s="34"/>
      <c r="C4" s="35" t="s">
        <v>7</v>
      </c>
      <c r="D4" s="35" t="s">
        <v>8</v>
      </c>
      <c r="E4" s="35" t="s">
        <v>9</v>
      </c>
      <c r="F4" s="35" t="s">
        <v>10</v>
      </c>
      <c r="G4" s="36" t="s">
        <v>11</v>
      </c>
      <c r="I4" s="34"/>
      <c r="J4" s="35" t="s">
        <v>7</v>
      </c>
      <c r="K4" s="35" t="s">
        <v>8</v>
      </c>
      <c r="L4" s="35" t="s">
        <v>9</v>
      </c>
      <c r="M4" s="35" t="s">
        <v>10</v>
      </c>
      <c r="N4" s="36" t="s">
        <v>11</v>
      </c>
      <c r="O4" s="12"/>
      <c r="P4" s="74" t="s">
        <v>6</v>
      </c>
      <c r="Q4" s="75" t="s">
        <v>30</v>
      </c>
      <c r="R4" s="76">
        <f t="shared" ref="R4:V4" si="2">(J29-J26)/J32</f>
        <v>0.1261534726</v>
      </c>
      <c r="S4" s="76">
        <f t="shared" si="2"/>
        <v>0.1435517261</v>
      </c>
      <c r="T4" s="76">
        <f t="shared" si="2"/>
        <v>0.2426183087</v>
      </c>
      <c r="U4" s="76">
        <f t="shared" si="2"/>
        <v>0.1022362114</v>
      </c>
      <c r="V4" s="76">
        <f t="shared" si="2"/>
        <v>0.1397284331</v>
      </c>
      <c r="W4" s="12"/>
      <c r="X4" s="12"/>
      <c r="Y4" s="12"/>
      <c r="Z4" s="12"/>
    </row>
    <row r="5" ht="15.75" customHeight="1">
      <c r="A5" s="12"/>
      <c r="B5" s="37"/>
      <c r="C5" s="38"/>
      <c r="D5" s="38"/>
      <c r="E5" s="38"/>
      <c r="F5" s="38"/>
      <c r="G5" s="39"/>
      <c r="I5" s="37"/>
      <c r="J5" s="38"/>
      <c r="K5" s="38"/>
      <c r="L5" s="38"/>
      <c r="M5" s="38"/>
      <c r="N5" s="39"/>
      <c r="O5" s="12"/>
      <c r="P5" s="74" t="s">
        <v>31</v>
      </c>
      <c r="Q5" s="75" t="s">
        <v>32</v>
      </c>
      <c r="R5" s="76">
        <f t="shared" ref="R5:U5" si="3">C11/((J36+K36)/2)</f>
        <v>5.853909093</v>
      </c>
      <c r="S5" s="76">
        <f t="shared" si="3"/>
        <v>4.843172938</v>
      </c>
      <c r="T5" s="76">
        <f t="shared" si="3"/>
        <v>3.158984262</v>
      </c>
      <c r="U5" s="76">
        <f t="shared" si="3"/>
        <v>4.20173357</v>
      </c>
      <c r="V5" s="76">
        <f>G11/(N36)</f>
        <v>4.648772421</v>
      </c>
      <c r="W5" s="12"/>
      <c r="X5" s="12"/>
      <c r="Y5" s="12"/>
      <c r="Z5" s="12"/>
    </row>
    <row r="6" ht="15.75" customHeight="1">
      <c r="A6" s="12"/>
      <c r="B6" s="40"/>
      <c r="C6" s="41" t="s">
        <v>33</v>
      </c>
      <c r="D6" s="41" t="s">
        <v>33</v>
      </c>
      <c r="E6" s="41" t="s">
        <v>33</v>
      </c>
      <c r="F6" s="41" t="s">
        <v>33</v>
      </c>
      <c r="G6" s="42" t="s">
        <v>33</v>
      </c>
      <c r="I6" s="40"/>
      <c r="J6" s="41" t="s">
        <v>33</v>
      </c>
      <c r="K6" s="41" t="s">
        <v>33</v>
      </c>
      <c r="L6" s="41" t="s">
        <v>33</v>
      </c>
      <c r="M6" s="41" t="s">
        <v>33</v>
      </c>
      <c r="N6" s="42" t="s">
        <v>33</v>
      </c>
      <c r="O6" s="12"/>
      <c r="P6" s="74" t="s">
        <v>34</v>
      </c>
      <c r="Q6" s="75" t="s">
        <v>35</v>
      </c>
      <c r="R6" s="76">
        <f t="shared" ref="R6:U6" si="4">C11/((J27+K27)/2)</f>
        <v>57.48718058</v>
      </c>
      <c r="S6" s="76">
        <f t="shared" si="4"/>
        <v>41.24799055</v>
      </c>
      <c r="T6" s="76">
        <f t="shared" si="4"/>
        <v>35.7987255</v>
      </c>
      <c r="U6" s="76">
        <f t="shared" si="4"/>
        <v>48.05771158</v>
      </c>
      <c r="V6" s="76">
        <f>G11/(N27)</f>
        <v>44.56416249</v>
      </c>
      <c r="W6" s="12"/>
      <c r="X6" s="12"/>
      <c r="Y6" s="12"/>
      <c r="Z6" s="12"/>
    </row>
    <row r="7" ht="15.75" customHeight="1">
      <c r="A7" s="12"/>
      <c r="B7" s="37"/>
      <c r="C7" s="38"/>
      <c r="D7" s="38"/>
      <c r="E7" s="38"/>
      <c r="F7" s="38"/>
      <c r="G7" s="39"/>
      <c r="I7" s="37"/>
      <c r="J7" s="38"/>
      <c r="K7" s="38"/>
      <c r="L7" s="38"/>
      <c r="M7" s="38"/>
      <c r="N7" s="39"/>
      <c r="O7" s="12"/>
      <c r="P7" s="74" t="s">
        <v>36</v>
      </c>
      <c r="Q7" s="75" t="s">
        <v>37</v>
      </c>
      <c r="R7" s="76">
        <f t="shared" ref="R7:U7" si="5">C21/((J26+K26)/2)</f>
        <v>12.45481484</v>
      </c>
      <c r="S7" s="76">
        <f t="shared" si="5"/>
        <v>11.11168735</v>
      </c>
      <c r="T7" s="76">
        <f t="shared" si="5"/>
        <v>9.286063088</v>
      </c>
      <c r="U7" s="76">
        <f t="shared" si="5"/>
        <v>13.25845601</v>
      </c>
      <c r="V7" s="76">
        <f>G21/(N26)</f>
        <v>13.32181539</v>
      </c>
      <c r="W7" s="12"/>
      <c r="X7" s="12"/>
      <c r="Y7" s="12"/>
      <c r="Z7" s="12"/>
    </row>
    <row r="8" ht="15.75" customHeight="1">
      <c r="A8" s="12"/>
      <c r="B8" s="43" t="s">
        <v>38</v>
      </c>
      <c r="C8" s="18"/>
      <c r="D8" s="35"/>
      <c r="E8" s="35"/>
      <c r="F8" s="35"/>
      <c r="G8" s="36"/>
      <c r="I8" s="43" t="s">
        <v>39</v>
      </c>
      <c r="J8" s="18"/>
      <c r="K8" s="35"/>
      <c r="L8" s="35"/>
      <c r="M8" s="35"/>
      <c r="N8" s="36"/>
      <c r="O8" s="12"/>
      <c r="P8" s="74" t="s">
        <v>18</v>
      </c>
      <c r="Q8" s="75" t="s">
        <v>40</v>
      </c>
      <c r="R8" s="76">
        <f t="shared" ref="R8:V8" si="6">J14/J36</f>
        <v>0.4081313003</v>
      </c>
      <c r="S8" s="76">
        <f t="shared" si="6"/>
        <v>0.3269027211</v>
      </c>
      <c r="T8" s="76">
        <f t="shared" si="6"/>
        <v>0.2805117253</v>
      </c>
      <c r="U8" s="76">
        <f t="shared" si="6"/>
        <v>0.5349271146</v>
      </c>
      <c r="V8" s="76">
        <f t="shared" si="6"/>
        <v>0.4254979905</v>
      </c>
      <c r="W8" s="12"/>
      <c r="X8" s="12"/>
      <c r="Y8" s="12"/>
      <c r="Z8" s="12"/>
    </row>
    <row r="9" ht="15.75" customHeight="1">
      <c r="A9" s="12"/>
      <c r="B9" s="40" t="s">
        <v>41</v>
      </c>
      <c r="C9" s="44">
        <v>533467.55</v>
      </c>
      <c r="D9" s="44">
        <v>433406.48</v>
      </c>
      <c r="E9" s="44">
        <v>301864.98</v>
      </c>
      <c r="F9" s="44">
        <v>327580.78</v>
      </c>
      <c r="G9" s="45">
        <v>337622.53</v>
      </c>
      <c r="I9" s="40" t="s">
        <v>42</v>
      </c>
      <c r="J9" s="44">
        <v>2129.45</v>
      </c>
      <c r="K9" s="44">
        <v>2129.45</v>
      </c>
      <c r="L9" s="44">
        <v>2092.91</v>
      </c>
      <c r="M9" s="44">
        <v>1966.88</v>
      </c>
      <c r="N9" s="45">
        <v>1966.88</v>
      </c>
      <c r="O9" s="12"/>
      <c r="P9" s="74" t="s">
        <v>43</v>
      </c>
      <c r="Q9" s="75" t="s">
        <v>44</v>
      </c>
      <c r="R9" s="76">
        <f t="shared" ref="R9:V9" si="7">J14/(J15-J14)</f>
        <v>0.6895639193</v>
      </c>
      <c r="S9" s="76">
        <f t="shared" si="7"/>
        <v>0.4856693547</v>
      </c>
      <c r="T9" s="76">
        <f t="shared" si="7"/>
        <v>0.3898767155</v>
      </c>
      <c r="U9" s="76">
        <f t="shared" si="7"/>
        <v>1.150200606</v>
      </c>
      <c r="V9" s="76">
        <f t="shared" si="7"/>
        <v>0.7406379499</v>
      </c>
      <c r="W9" s="12"/>
      <c r="X9" s="12"/>
      <c r="Y9" s="12"/>
      <c r="Z9" s="12"/>
    </row>
    <row r="10" ht="15.75" customHeight="1">
      <c r="A10" s="12"/>
      <c r="B10" s="40" t="s">
        <v>45</v>
      </c>
      <c r="C10" s="44">
        <v>60342.88</v>
      </c>
      <c r="D10" s="44">
        <v>71129.71</v>
      </c>
      <c r="E10" s="44">
        <v>69319.86</v>
      </c>
      <c r="F10" s="44">
        <v>43197.83</v>
      </c>
      <c r="G10" s="45">
        <v>40347.48</v>
      </c>
      <c r="I10" s="40" t="s">
        <v>46</v>
      </c>
      <c r="J10" s="44">
        <v>2129.45</v>
      </c>
      <c r="K10" s="44">
        <v>2129.45</v>
      </c>
      <c r="L10" s="44">
        <v>2092.91</v>
      </c>
      <c r="M10" s="44">
        <v>1966.88</v>
      </c>
      <c r="N10" s="45">
        <v>1966.88</v>
      </c>
      <c r="O10" s="12"/>
      <c r="P10" s="74" t="s">
        <v>47</v>
      </c>
      <c r="Q10" s="75" t="s">
        <v>48</v>
      </c>
      <c r="R10" s="76">
        <f t="shared" ref="R10:U10" si="8">AVERAGE(J36:K36)/AVERAGE(J12:K12)</f>
        <v>1.589949631</v>
      </c>
      <c r="S10" s="76">
        <f t="shared" si="8"/>
        <v>1.435532618</v>
      </c>
      <c r="T10" s="76">
        <f t="shared" si="8"/>
        <v>1.677638731</v>
      </c>
      <c r="U10" s="76">
        <f t="shared" si="8"/>
        <v>1.935104985</v>
      </c>
      <c r="V10" s="76">
        <f>AVERAGE(N36:O36)/N12</f>
        <v>1.74063795</v>
      </c>
      <c r="W10" s="12"/>
      <c r="X10" s="12"/>
      <c r="Y10" s="12"/>
      <c r="Z10" s="12"/>
    </row>
    <row r="11" ht="15.75" customHeight="1">
      <c r="A11" s="12"/>
      <c r="B11" s="40" t="s">
        <v>49</v>
      </c>
      <c r="C11" s="44">
        <v>473124.67</v>
      </c>
      <c r="D11" s="44">
        <v>362276.77</v>
      </c>
      <c r="E11" s="44">
        <v>232545.12</v>
      </c>
      <c r="F11" s="44">
        <v>284382.95</v>
      </c>
      <c r="G11" s="45">
        <v>297275.05</v>
      </c>
      <c r="I11" s="40" t="s">
        <v>50</v>
      </c>
      <c r="J11" s="44">
        <v>49866.89</v>
      </c>
      <c r="K11" s="44">
        <v>47540.33</v>
      </c>
      <c r="L11" s="44">
        <v>51595.15</v>
      </c>
      <c r="M11" s="44">
        <v>31247.5</v>
      </c>
      <c r="N11" s="45">
        <v>34770.8</v>
      </c>
      <c r="O11" s="12"/>
      <c r="P11" s="74" t="s">
        <v>51</v>
      </c>
      <c r="Q11" s="75" t="s">
        <v>52</v>
      </c>
      <c r="R11" s="76">
        <f t="shared" ref="R11:V11" si="9">(C27-C30)/C28</f>
        <v>1.602947943</v>
      </c>
      <c r="S11" s="76">
        <f t="shared" si="9"/>
        <v>7.392167613</v>
      </c>
      <c r="T11" s="76">
        <f t="shared" si="9"/>
        <v>17.97582734</v>
      </c>
      <c r="U11" s="76">
        <f t="shared" si="9"/>
        <v>2.139385662</v>
      </c>
      <c r="V11" s="76">
        <f t="shared" si="9"/>
        <v>8.81039607</v>
      </c>
      <c r="W11" s="12"/>
      <c r="X11" s="12"/>
      <c r="Y11" s="12"/>
      <c r="Z11" s="12"/>
    </row>
    <row r="12" ht="15.75" customHeight="1">
      <c r="A12" s="12"/>
      <c r="B12" s="40" t="s">
        <v>53</v>
      </c>
      <c r="C12" s="41">
        <v>546.7</v>
      </c>
      <c r="D12" s="44">
        <v>2314.42</v>
      </c>
      <c r="E12" s="44">
        <v>10725.79</v>
      </c>
      <c r="F12" s="44">
        <v>1815.42</v>
      </c>
      <c r="G12" s="45">
        <v>2845.58</v>
      </c>
      <c r="I12" s="34" t="s">
        <v>54</v>
      </c>
      <c r="J12" s="46">
        <v>51996.34</v>
      </c>
      <c r="K12" s="46">
        <v>49669.78</v>
      </c>
      <c r="L12" s="46">
        <v>54544.55</v>
      </c>
      <c r="M12" s="46">
        <v>33214.38</v>
      </c>
      <c r="N12" s="47">
        <v>36737.68</v>
      </c>
      <c r="O12" s="12"/>
      <c r="P12" s="74" t="s">
        <v>55</v>
      </c>
      <c r="Q12" s="75" t="s">
        <v>56</v>
      </c>
      <c r="R12" s="76">
        <f t="shared" ref="R12:V12" si="10">C34/C11</f>
        <v>0.003952657975</v>
      </c>
      <c r="S12" s="76">
        <f t="shared" si="10"/>
        <v>0.02425971171</v>
      </c>
      <c r="T12" s="76">
        <f t="shared" si="10"/>
        <v>0.08188376518</v>
      </c>
      <c r="U12" s="76">
        <f t="shared" si="10"/>
        <v>0.009435129638</v>
      </c>
      <c r="V12" s="76">
        <f t="shared" si="10"/>
        <v>0.02399131713</v>
      </c>
      <c r="W12" s="12"/>
      <c r="X12" s="12"/>
      <c r="Y12" s="12"/>
      <c r="Z12" s="12"/>
    </row>
    <row r="13" ht="15.75" customHeight="1">
      <c r="A13" s="12"/>
      <c r="B13" s="40" t="s">
        <v>57</v>
      </c>
      <c r="C13" s="41">
        <v>975.21</v>
      </c>
      <c r="D13" s="44">
        <v>4288.73</v>
      </c>
      <c r="E13" s="44">
        <v>3633.57</v>
      </c>
      <c r="F13" s="41">
        <v>456.62</v>
      </c>
      <c r="G13" s="45">
        <v>1703.06</v>
      </c>
      <c r="I13" s="40" t="s">
        <v>58</v>
      </c>
      <c r="J13" s="44">
        <v>35854.8</v>
      </c>
      <c r="K13" s="44">
        <v>24123.09</v>
      </c>
      <c r="L13" s="44">
        <v>21265.65</v>
      </c>
      <c r="M13" s="44">
        <v>38203.2</v>
      </c>
      <c r="N13" s="45">
        <v>27209.32</v>
      </c>
      <c r="O13" s="12"/>
      <c r="P13" s="74" t="s">
        <v>59</v>
      </c>
      <c r="Q13" s="75" t="s">
        <v>60</v>
      </c>
      <c r="R13" s="76">
        <f t="shared" ref="R13:V13" si="11">(C14-C21)/C11</f>
        <v>0.02431352819</v>
      </c>
      <c r="S13" s="76">
        <f t="shared" si="11"/>
        <v>0.05108594183</v>
      </c>
      <c r="T13" s="76">
        <f t="shared" si="11"/>
        <v>0.1197893123</v>
      </c>
      <c r="U13" s="76">
        <f t="shared" si="11"/>
        <v>0.02973008755</v>
      </c>
      <c r="V13" s="76">
        <f t="shared" si="11"/>
        <v>0.04981864438</v>
      </c>
      <c r="W13" s="12"/>
      <c r="X13" s="12"/>
      <c r="Y13" s="12"/>
      <c r="Z13" s="12"/>
    </row>
    <row r="14" ht="15.75" customHeight="1">
      <c r="A14" s="12"/>
      <c r="B14" s="34" t="s">
        <v>61</v>
      </c>
      <c r="C14" s="46">
        <v>474646.58</v>
      </c>
      <c r="D14" s="46">
        <v>368879.92</v>
      </c>
      <c r="E14" s="46">
        <v>246904.48</v>
      </c>
      <c r="F14" s="46">
        <v>286654.99</v>
      </c>
      <c r="G14" s="47">
        <v>301823.69</v>
      </c>
      <c r="I14" s="34" t="s">
        <v>62</v>
      </c>
      <c r="J14" s="46">
        <v>35854.8</v>
      </c>
      <c r="K14" s="46">
        <v>24123.09</v>
      </c>
      <c r="L14" s="46">
        <v>21265.65</v>
      </c>
      <c r="M14" s="46">
        <v>38203.2</v>
      </c>
      <c r="N14" s="47">
        <v>27209.32</v>
      </c>
      <c r="O14" s="12"/>
      <c r="P14" s="74" t="s">
        <v>63</v>
      </c>
      <c r="Q14" s="75" t="s">
        <v>64</v>
      </c>
      <c r="R14" s="76">
        <f t="shared" ref="R14:U14" si="12">C34/AVERAGE(J36:K36)</f>
        <v>0.02313850046</v>
      </c>
      <c r="S14" s="76">
        <f t="shared" si="12"/>
        <v>0.1174939792</v>
      </c>
      <c r="T14" s="76">
        <f t="shared" si="12"/>
        <v>0.2586695255</v>
      </c>
      <c r="U14" s="76">
        <f t="shared" si="12"/>
        <v>0.03964390094</v>
      </c>
      <c r="V14" s="76">
        <f>G34/N36</f>
        <v>0.1115301734</v>
      </c>
      <c r="W14" s="12"/>
      <c r="X14" s="12"/>
      <c r="Y14" s="12"/>
      <c r="Z14" s="12"/>
    </row>
    <row r="15" ht="15.75" customHeight="1">
      <c r="A15" s="12"/>
      <c r="B15" s="43" t="s">
        <v>65</v>
      </c>
      <c r="C15" s="18"/>
      <c r="D15" s="35"/>
      <c r="E15" s="35"/>
      <c r="F15" s="35"/>
      <c r="G15" s="36"/>
      <c r="I15" s="34" t="s">
        <v>66</v>
      </c>
      <c r="J15" s="46">
        <v>87851.14</v>
      </c>
      <c r="K15" s="46">
        <v>73792.87</v>
      </c>
      <c r="L15" s="46">
        <v>75810.2</v>
      </c>
      <c r="M15" s="46">
        <v>71417.58</v>
      </c>
      <c r="N15" s="47">
        <v>63947.0</v>
      </c>
      <c r="O15" s="12"/>
      <c r="P15" s="74" t="s">
        <v>67</v>
      </c>
      <c r="Q15" s="75" t="s">
        <v>68</v>
      </c>
      <c r="R15" s="76">
        <f t="shared" ref="R15:U15" si="13">C26/((J36+K36)/2)</f>
        <v>0.1355649368</v>
      </c>
      <c r="S15" s="76">
        <f t="shared" si="13"/>
        <v>0.2164772421</v>
      </c>
      <c r="T15" s="76">
        <f t="shared" si="13"/>
        <v>0.2327092075</v>
      </c>
      <c r="U15" s="76">
        <f t="shared" si="13"/>
        <v>0.09809523289</v>
      </c>
      <c r="V15" s="76">
        <f>G26/(N36)</f>
        <v>0.1870965018</v>
      </c>
      <c r="W15" s="12"/>
      <c r="X15" s="12"/>
      <c r="Y15" s="12"/>
      <c r="Z15" s="12"/>
    </row>
    <row r="16" ht="15.75" customHeight="1">
      <c r="A16" s="12"/>
      <c r="B16" s="40" t="s">
        <v>69</v>
      </c>
      <c r="C16" s="44">
        <v>434402.3</v>
      </c>
      <c r="D16" s="44">
        <v>328004.78</v>
      </c>
      <c r="E16" s="44">
        <v>199115.07</v>
      </c>
      <c r="F16" s="44">
        <v>256571.42</v>
      </c>
      <c r="G16" s="45">
        <v>266603.82</v>
      </c>
      <c r="I16" s="34"/>
      <c r="J16" s="35" t="s">
        <v>7</v>
      </c>
      <c r="K16" s="35" t="s">
        <v>8</v>
      </c>
      <c r="L16" s="35" t="s">
        <v>9</v>
      </c>
      <c r="M16" s="35" t="s">
        <v>10</v>
      </c>
      <c r="N16" s="36" t="s">
        <v>11</v>
      </c>
      <c r="O16" s="12"/>
      <c r="P16" s="74" t="s">
        <v>70</v>
      </c>
      <c r="Q16" s="75" t="s">
        <v>71</v>
      </c>
      <c r="R16" s="76">
        <f t="shared" ref="R16:U16" si="14">C34/((J12+K12)/2)</f>
        <v>0.03678905028</v>
      </c>
      <c r="S16" s="76">
        <f t="shared" si="14"/>
        <v>0.1686664396</v>
      </c>
      <c r="T16" s="76">
        <f t="shared" si="14"/>
        <v>0.4339540147</v>
      </c>
      <c r="U16" s="76">
        <f t="shared" si="14"/>
        <v>0.07671511032</v>
      </c>
      <c r="V16" s="76">
        <f>G34/(N12)</f>
        <v>0.1941336524</v>
      </c>
      <c r="W16" s="12"/>
      <c r="X16" s="12"/>
      <c r="Y16" s="12"/>
      <c r="Z16" s="12"/>
    </row>
    <row r="17" ht="15.75" customHeight="1">
      <c r="A17" s="12"/>
      <c r="B17" s="40" t="s">
        <v>72</v>
      </c>
      <c r="C17" s="44">
        <v>4020.86</v>
      </c>
      <c r="D17" s="44">
        <v>2974.12</v>
      </c>
      <c r="E17" s="44">
        <v>2331.58</v>
      </c>
      <c r="F17" s="44">
        <v>2764.43</v>
      </c>
      <c r="G17" s="45">
        <v>2178.63</v>
      </c>
      <c r="I17" s="37"/>
      <c r="J17" s="38"/>
      <c r="K17" s="38"/>
      <c r="L17" s="38"/>
      <c r="M17" s="38"/>
      <c r="N17" s="39"/>
      <c r="O17" s="12"/>
      <c r="P17" s="74" t="s">
        <v>73</v>
      </c>
      <c r="Q17" s="75" t="s">
        <v>74</v>
      </c>
      <c r="R17" s="76">
        <f t="shared" ref="R17:V17" si="15">C36/C14</f>
        <v>0.002742145535</v>
      </c>
      <c r="S17" s="76">
        <f t="shared" si="15"/>
        <v>0.03998840598</v>
      </c>
      <c r="T17" s="76">
        <f t="shared" si="15"/>
        <v>0.0184501715</v>
      </c>
      <c r="U17" s="76">
        <f t="shared" si="15"/>
        <v>0.01681066149</v>
      </c>
      <c r="V17" s="76">
        <f t="shared" si="15"/>
        <v>0.01172999376</v>
      </c>
      <c r="W17" s="12"/>
      <c r="X17" s="12"/>
      <c r="Y17" s="12"/>
      <c r="Z17" s="12"/>
    </row>
    <row r="18" ht="15.75" customHeight="1">
      <c r="A18" s="12"/>
      <c r="B18" s="40" t="s">
        <v>75</v>
      </c>
      <c r="C18" s="44">
        <v>2763.97</v>
      </c>
      <c r="D18" s="44">
        <v>3314.45</v>
      </c>
      <c r="E18" s="44">
        <v>4477.17</v>
      </c>
      <c r="F18" s="44">
        <v>3691.45</v>
      </c>
      <c r="G18" s="45">
        <v>3664.18</v>
      </c>
      <c r="I18" s="40"/>
      <c r="J18" s="41" t="s">
        <v>33</v>
      </c>
      <c r="K18" s="41" t="s">
        <v>33</v>
      </c>
      <c r="L18" s="41" t="s">
        <v>33</v>
      </c>
      <c r="M18" s="41" t="s">
        <v>33</v>
      </c>
      <c r="N18" s="42" t="s">
        <v>33</v>
      </c>
      <c r="O18" s="12"/>
      <c r="P18" s="74" t="s">
        <v>76</v>
      </c>
      <c r="Q18" s="75" t="s">
        <v>77</v>
      </c>
      <c r="R18" s="76">
        <f t="shared" ref="R18:V18" si="16">(C34-C36)/C34</f>
        <v>0.3040211753</v>
      </c>
      <c r="S18" s="76">
        <f t="shared" si="16"/>
        <v>-0.6783903932</v>
      </c>
      <c r="T18" s="76">
        <f t="shared" si="16"/>
        <v>0.760765206</v>
      </c>
      <c r="U18" s="76">
        <f t="shared" si="16"/>
        <v>-0.7959443796</v>
      </c>
      <c r="V18" s="76">
        <f t="shared" si="16"/>
        <v>0.5035922502</v>
      </c>
      <c r="W18" s="12"/>
      <c r="X18" s="12"/>
      <c r="Y18" s="12"/>
      <c r="Z18" s="12"/>
    </row>
    <row r="19" ht="15.75" customHeight="1">
      <c r="A19" s="12"/>
      <c r="I19" s="37"/>
      <c r="J19" s="38"/>
      <c r="K19" s="38"/>
      <c r="L19" s="38"/>
      <c r="M19" s="38"/>
      <c r="N19" s="39"/>
      <c r="O19" s="12"/>
      <c r="P19" s="74" t="s">
        <v>79</v>
      </c>
      <c r="Q19" s="75" t="s">
        <v>80</v>
      </c>
      <c r="R19" s="76">
        <f t="shared" ref="R19:V19" si="17">C44/C40</f>
        <v>39.21412301</v>
      </c>
      <c r="S19" s="76">
        <f t="shared" si="17"/>
        <v>8.698812697</v>
      </c>
      <c r="T19" s="76">
        <f t="shared" si="17"/>
        <v>4.693339195</v>
      </c>
      <c r="U19" s="76">
        <f t="shared" si="17"/>
        <v>23.16715543</v>
      </c>
      <c r="V19" s="76">
        <f t="shared" si="17"/>
        <v>10.9762824</v>
      </c>
      <c r="W19" s="12"/>
      <c r="X19" s="12"/>
      <c r="Y19" s="12"/>
      <c r="Z19" s="12"/>
    </row>
    <row r="20" ht="15.75" customHeight="1">
      <c r="A20" s="12"/>
      <c r="B20" s="40" t="s">
        <v>81</v>
      </c>
      <c r="C20" s="44">
        <v>21956.12</v>
      </c>
      <c r="D20" s="44">
        <v>16079.32</v>
      </c>
      <c r="E20" s="44">
        <v>13124.24</v>
      </c>
      <c r="F20" s="44">
        <v>15172.96</v>
      </c>
      <c r="G20" s="45">
        <v>14567.22</v>
      </c>
      <c r="I20" s="43" t="s">
        <v>82</v>
      </c>
      <c r="J20" s="18"/>
      <c r="K20" s="35"/>
      <c r="L20" s="35"/>
      <c r="M20" s="35"/>
      <c r="N20" s="36"/>
      <c r="O20" s="12"/>
      <c r="P20" s="74" t="s">
        <v>83</v>
      </c>
      <c r="Q20" s="75" t="s">
        <v>84</v>
      </c>
      <c r="R20" s="76">
        <f t="shared" ref="R20:V20" si="18">C36/C39/C44*100</f>
        <v>0.01775233018</v>
      </c>
      <c r="S20" s="76">
        <f t="shared" si="18"/>
        <v>0.192955069</v>
      </c>
      <c r="T20" s="76">
        <f t="shared" si="18"/>
        <v>0.05097418924</v>
      </c>
      <c r="U20" s="76">
        <f t="shared" si="18"/>
        <v>0.07753170993</v>
      </c>
      <c r="V20" s="76">
        <f t="shared" si="18"/>
        <v>0.0452262073</v>
      </c>
      <c r="W20" s="12"/>
      <c r="X20" s="12"/>
      <c r="Y20" s="12"/>
      <c r="Z20" s="12"/>
    </row>
    <row r="21" ht="15.75" customHeight="1">
      <c r="A21" s="12"/>
      <c r="B21" s="40" t="s">
        <v>85</v>
      </c>
      <c r="C21" s="44">
        <v>463143.25</v>
      </c>
      <c r="D21" s="44">
        <v>350372.67</v>
      </c>
      <c r="E21" s="44">
        <v>219048.06</v>
      </c>
      <c r="F21" s="44">
        <v>278200.26</v>
      </c>
      <c r="G21" s="45">
        <v>287013.85</v>
      </c>
      <c r="I21" s="40" t="s">
        <v>86</v>
      </c>
      <c r="J21" s="44">
        <v>113490.42</v>
      </c>
      <c r="K21" s="44">
        <v>90369.26</v>
      </c>
      <c r="L21" s="44">
        <v>80439.44</v>
      </c>
      <c r="M21" s="44">
        <v>69654.44</v>
      </c>
      <c r="N21" s="45">
        <v>55694.18</v>
      </c>
      <c r="O21" s="12"/>
      <c r="P21" s="74" t="s">
        <v>87</v>
      </c>
      <c r="Q21" s="75" t="s">
        <v>88</v>
      </c>
      <c r="R21" s="76">
        <f t="shared" ref="R21:V21" si="19">C44/C42</f>
        <v>1.410025391</v>
      </c>
      <c r="S21" s="76">
        <f t="shared" si="19"/>
        <v>1.539121115</v>
      </c>
      <c r="T21" s="76">
        <f t="shared" si="19"/>
        <v>1.664587557</v>
      </c>
      <c r="U21" s="76">
        <f t="shared" si="19"/>
        <v>1.871261917</v>
      </c>
      <c r="V21" s="76">
        <f t="shared" si="19"/>
        <v>2.130849127</v>
      </c>
      <c r="W21" s="12"/>
      <c r="X21" s="12"/>
      <c r="Y21" s="12"/>
      <c r="Z21" s="12"/>
    </row>
    <row r="22" ht="15.75" customHeight="1">
      <c r="A22" s="12"/>
      <c r="B22" s="34"/>
      <c r="C22" s="35" t="s">
        <v>7</v>
      </c>
      <c r="D22" s="35" t="s">
        <v>8</v>
      </c>
      <c r="E22" s="35" t="s">
        <v>9</v>
      </c>
      <c r="F22" s="35" t="s">
        <v>10</v>
      </c>
      <c r="G22" s="36" t="s">
        <v>11</v>
      </c>
      <c r="I22" s="40" t="s">
        <v>89</v>
      </c>
      <c r="J22" s="44">
        <v>26894.19</v>
      </c>
      <c r="K22" s="44">
        <v>20874.61</v>
      </c>
      <c r="L22" s="44">
        <v>16503.19</v>
      </c>
      <c r="M22" s="44">
        <v>12703.32</v>
      </c>
      <c r="N22" s="45">
        <v>9206.06</v>
      </c>
      <c r="O22" s="12"/>
      <c r="P22" s="74" t="s">
        <v>90</v>
      </c>
      <c r="Q22" s="75" t="s">
        <v>91</v>
      </c>
      <c r="R22" s="76">
        <f t="shared" ref="R22:V22" si="20">R12*R5*R10</f>
        <v>0.03678905028</v>
      </c>
      <c r="S22" s="76">
        <f t="shared" si="20"/>
        <v>0.1686664396</v>
      </c>
      <c r="T22" s="76">
        <f t="shared" si="20"/>
        <v>0.4339540147</v>
      </c>
      <c r="U22" s="76">
        <f t="shared" si="20"/>
        <v>0.07671511032</v>
      </c>
      <c r="V22" s="76">
        <f t="shared" si="20"/>
        <v>0.1941336524</v>
      </c>
      <c r="W22" s="12"/>
      <c r="X22" s="12"/>
      <c r="Y22" s="12"/>
      <c r="Z22" s="12"/>
    </row>
    <row r="23" ht="15.75" customHeight="1">
      <c r="A23" s="12"/>
      <c r="B23" s="40"/>
      <c r="C23" s="41" t="s">
        <v>33</v>
      </c>
      <c r="D23" s="41" t="s">
        <v>33</v>
      </c>
      <c r="E23" s="41" t="s">
        <v>33</v>
      </c>
      <c r="F23" s="41" t="s">
        <v>33</v>
      </c>
      <c r="G23" s="42" t="s">
        <v>33</v>
      </c>
      <c r="I23" s="34" t="s">
        <v>92</v>
      </c>
      <c r="J23" s="46">
        <v>86596.23</v>
      </c>
      <c r="K23" s="46">
        <v>69494.65</v>
      </c>
      <c r="L23" s="46">
        <v>63936.25</v>
      </c>
      <c r="M23" s="46">
        <v>56951.12</v>
      </c>
      <c r="N23" s="47">
        <v>46488.12</v>
      </c>
      <c r="O23" s="12"/>
      <c r="P23" s="77"/>
      <c r="Q23" s="77"/>
      <c r="R23" s="77"/>
      <c r="S23" s="77"/>
      <c r="T23" s="77"/>
      <c r="U23" s="77"/>
      <c r="V23" s="77"/>
      <c r="W23" s="12"/>
      <c r="X23" s="12"/>
      <c r="Y23" s="12"/>
      <c r="Z23" s="12"/>
    </row>
    <row r="24" ht="15.75" customHeight="1">
      <c r="A24" s="12"/>
      <c r="B24" s="37"/>
      <c r="C24" s="38"/>
      <c r="D24" s="38"/>
      <c r="E24" s="38"/>
      <c r="F24" s="38"/>
      <c r="G24" s="39"/>
      <c r="I24" s="40" t="s">
        <v>93</v>
      </c>
      <c r="J24" s="44">
        <v>5673.38</v>
      </c>
      <c r="K24" s="44">
        <v>3329.96</v>
      </c>
      <c r="L24" s="44">
        <v>7452.38</v>
      </c>
      <c r="M24" s="44">
        <v>9504.71</v>
      </c>
      <c r="N24" s="45">
        <v>7065.73</v>
      </c>
      <c r="O24" s="12"/>
      <c r="P24" s="77"/>
      <c r="Q24" s="77"/>
      <c r="R24" s="77"/>
      <c r="S24" s="77"/>
      <c r="T24" s="77"/>
      <c r="U24" s="77"/>
      <c r="V24" s="77"/>
      <c r="W24" s="12"/>
      <c r="X24" s="12"/>
      <c r="Y24" s="12"/>
      <c r="Z24" s="12"/>
    </row>
    <row r="25" ht="15.75" customHeight="1">
      <c r="A25" s="12"/>
      <c r="I25" s="34" t="s">
        <v>94</v>
      </c>
      <c r="J25" s="46">
        <v>13872.35</v>
      </c>
      <c r="K25" s="46">
        <v>20236.82</v>
      </c>
      <c r="L25" s="46">
        <v>17684.09</v>
      </c>
      <c r="M25" s="46">
        <v>16058.02</v>
      </c>
      <c r="N25" s="47">
        <v>15991.62</v>
      </c>
      <c r="O25" s="12"/>
      <c r="P25" s="77"/>
      <c r="Q25" s="77"/>
      <c r="R25" s="77"/>
      <c r="S25" s="77"/>
      <c r="T25" s="77"/>
      <c r="U25" s="77"/>
      <c r="V25" s="77"/>
      <c r="W25" s="12"/>
      <c r="X25" s="12"/>
      <c r="Y25" s="12"/>
      <c r="Z25" s="12"/>
    </row>
    <row r="26" ht="15.75" customHeight="1">
      <c r="A26" s="12"/>
      <c r="B26" s="34" t="s">
        <v>95</v>
      </c>
      <c r="C26" s="46">
        <v>10956.63</v>
      </c>
      <c r="D26" s="46">
        <v>16192.83</v>
      </c>
      <c r="E26" s="46">
        <v>17130.63</v>
      </c>
      <c r="F26" s="46">
        <v>6639.31</v>
      </c>
      <c r="G26" s="47">
        <v>11964.26</v>
      </c>
      <c r="I26" s="40" t="s">
        <v>96</v>
      </c>
      <c r="J26" s="44">
        <v>38064.7</v>
      </c>
      <c r="K26" s="44">
        <v>36307.06</v>
      </c>
      <c r="L26" s="44">
        <v>26756.75</v>
      </c>
      <c r="M26" s="44">
        <v>20421.06</v>
      </c>
      <c r="N26" s="45">
        <v>21544.65</v>
      </c>
      <c r="O26" s="12"/>
      <c r="P26" s="77"/>
      <c r="Q26" s="77"/>
      <c r="R26" s="77"/>
      <c r="S26" s="77"/>
      <c r="T26" s="77"/>
      <c r="U26" s="77"/>
      <c r="V26" s="77"/>
      <c r="W26" s="12"/>
      <c r="X26" s="12"/>
      <c r="Y26" s="12"/>
      <c r="Z26" s="12"/>
    </row>
    <row r="27" ht="15.75" customHeight="1">
      <c r="A27" s="12"/>
      <c r="B27" s="40" t="s">
        <v>97</v>
      </c>
      <c r="C27" s="44">
        <v>11503.33</v>
      </c>
      <c r="D27" s="44">
        <v>18507.25</v>
      </c>
      <c r="E27" s="44">
        <v>27856.42</v>
      </c>
      <c r="F27" s="44">
        <v>8454.73</v>
      </c>
      <c r="G27" s="45">
        <v>14809.84</v>
      </c>
      <c r="I27" s="40" t="s">
        <v>98</v>
      </c>
      <c r="J27" s="44">
        <v>6721.86</v>
      </c>
      <c r="K27" s="44">
        <v>9738.32</v>
      </c>
      <c r="L27" s="44">
        <v>7827.47</v>
      </c>
      <c r="M27" s="44">
        <v>5164.34</v>
      </c>
      <c r="N27" s="45">
        <v>6670.72</v>
      </c>
      <c r="O27" s="12"/>
      <c r="P27" s="77"/>
      <c r="Q27" s="77"/>
      <c r="R27" s="77"/>
      <c r="S27" s="77"/>
      <c r="T27" s="77"/>
      <c r="U27" s="77"/>
      <c r="V27" s="77"/>
      <c r="W27" s="12"/>
      <c r="X27" s="12"/>
      <c r="Y27" s="12"/>
      <c r="Z27" s="12"/>
    </row>
    <row r="28" ht="15.75" customHeight="1">
      <c r="A28" s="12"/>
      <c r="B28" s="40" t="s">
        <v>99</v>
      </c>
      <c r="C28" s="44">
        <v>3216.48</v>
      </c>
      <c r="D28" s="44">
        <v>1860.48</v>
      </c>
      <c r="E28" s="44">
        <v>1328.36</v>
      </c>
      <c r="F28" s="44">
        <v>2181.86</v>
      </c>
      <c r="G28" s="45">
        <v>1318.96</v>
      </c>
      <c r="I28" s="40" t="s">
        <v>100</v>
      </c>
      <c r="J28" s="44">
        <v>2120.44</v>
      </c>
      <c r="K28" s="41">
        <v>834.49</v>
      </c>
      <c r="L28" s="44">
        <v>7053.49</v>
      </c>
      <c r="M28" s="41">
        <v>115.78</v>
      </c>
      <c r="N28" s="42">
        <v>95.41</v>
      </c>
      <c r="O28" s="12"/>
      <c r="P28" s="77"/>
      <c r="Q28" s="77"/>
      <c r="R28" s="77"/>
      <c r="S28" s="77"/>
      <c r="T28" s="77"/>
      <c r="U28" s="77"/>
      <c r="V28" s="77"/>
      <c r="W28" s="12"/>
      <c r="X28" s="12"/>
      <c r="Y28" s="12"/>
      <c r="Z28" s="12"/>
    </row>
    <row r="29" ht="15.75" customHeight="1">
      <c r="A29" s="12"/>
      <c r="B29" s="40" t="s">
        <v>101</v>
      </c>
      <c r="C29" s="44">
        <v>8286.85</v>
      </c>
      <c r="D29" s="44">
        <v>16646.77</v>
      </c>
      <c r="E29" s="44">
        <v>26528.06</v>
      </c>
      <c r="F29" s="44">
        <v>6272.87</v>
      </c>
      <c r="G29" s="45">
        <v>13490.88</v>
      </c>
      <c r="I29" s="40" t="s">
        <v>102</v>
      </c>
      <c r="J29" s="44">
        <v>46907.0</v>
      </c>
      <c r="K29" s="44">
        <v>46879.87</v>
      </c>
      <c r="L29" s="44">
        <v>41637.71</v>
      </c>
      <c r="M29" s="44">
        <v>25701.18</v>
      </c>
      <c r="N29" s="45">
        <v>28310.78</v>
      </c>
      <c r="O29" s="12"/>
      <c r="P29" s="77"/>
      <c r="Q29" s="77"/>
      <c r="R29" s="77"/>
      <c r="S29" s="77"/>
      <c r="T29" s="77"/>
      <c r="U29" s="77"/>
      <c r="V29" s="77"/>
      <c r="W29" s="12"/>
      <c r="X29" s="12"/>
      <c r="Y29" s="12"/>
      <c r="Z29" s="12"/>
    </row>
    <row r="30" ht="15.75" customHeight="1">
      <c r="A30" s="12"/>
      <c r="B30" s="40" t="s">
        <v>103</v>
      </c>
      <c r="C30" s="44">
        <v>6347.48</v>
      </c>
      <c r="D30" s="44">
        <v>4754.27</v>
      </c>
      <c r="E30" s="44">
        <v>3978.05</v>
      </c>
      <c r="F30" s="44">
        <v>3786.89</v>
      </c>
      <c r="G30" s="45">
        <v>3189.28</v>
      </c>
      <c r="I30" s="40" t="s">
        <v>104</v>
      </c>
      <c r="J30" s="44">
        <v>7755.02</v>
      </c>
      <c r="K30" s="44">
        <v>10571.26</v>
      </c>
      <c r="L30" s="44">
        <v>9894.06</v>
      </c>
      <c r="M30" s="44">
        <v>18253.95</v>
      </c>
      <c r="N30" s="45">
        <v>17771.0</v>
      </c>
      <c r="O30" s="12"/>
      <c r="P30" s="77"/>
      <c r="Q30" s="77"/>
      <c r="R30" s="77"/>
      <c r="S30" s="77"/>
      <c r="T30" s="77"/>
      <c r="U30" s="77"/>
      <c r="V30" s="77"/>
      <c r="W30" s="12"/>
      <c r="X30" s="12"/>
      <c r="Y30" s="12"/>
      <c r="Z30" s="12"/>
    </row>
    <row r="31" ht="15.75" customHeight="1">
      <c r="A31" s="12"/>
      <c r="B31" s="40" t="s">
        <v>105</v>
      </c>
      <c r="C31" s="44">
        <v>1939.37</v>
      </c>
      <c r="D31" s="44">
        <v>11892.5</v>
      </c>
      <c r="E31" s="44">
        <v>22550.01</v>
      </c>
      <c r="F31" s="44">
        <v>2485.98</v>
      </c>
      <c r="G31" s="45">
        <v>10301.6</v>
      </c>
      <c r="I31" s="40" t="s">
        <v>106</v>
      </c>
      <c r="J31" s="44">
        <v>54662.02</v>
      </c>
      <c r="K31" s="44">
        <v>57451.13</v>
      </c>
      <c r="L31" s="44">
        <v>51531.77</v>
      </c>
      <c r="M31" s="44">
        <v>43955.13</v>
      </c>
      <c r="N31" s="45">
        <v>46081.78</v>
      </c>
      <c r="O31" s="12"/>
      <c r="P31" s="77"/>
      <c r="Q31" s="77"/>
      <c r="R31" s="77"/>
      <c r="S31" s="77"/>
      <c r="T31" s="77"/>
      <c r="U31" s="77"/>
      <c r="V31" s="77"/>
      <c r="W31" s="12"/>
      <c r="X31" s="12"/>
      <c r="Y31" s="12"/>
      <c r="Z31" s="12"/>
    </row>
    <row r="32" ht="15.75" customHeight="1">
      <c r="A32" s="12"/>
      <c r="B32" s="40" t="s">
        <v>107</v>
      </c>
      <c r="C32" s="44">
        <v>1939.37</v>
      </c>
      <c r="D32" s="44">
        <v>11892.5</v>
      </c>
      <c r="E32" s="44">
        <v>22550.01</v>
      </c>
      <c r="F32" s="44">
        <v>2485.98</v>
      </c>
      <c r="G32" s="45">
        <v>10301.6</v>
      </c>
      <c r="I32" s="40" t="s">
        <v>108</v>
      </c>
      <c r="J32" s="44">
        <v>70091.61</v>
      </c>
      <c r="K32" s="44">
        <v>73651.57</v>
      </c>
      <c r="L32" s="44">
        <v>61334.86</v>
      </c>
      <c r="M32" s="44">
        <v>51646.28</v>
      </c>
      <c r="N32" s="45">
        <v>48423.43</v>
      </c>
      <c r="O32" s="12"/>
      <c r="P32" s="77"/>
      <c r="Q32" s="77"/>
      <c r="R32" s="77"/>
      <c r="S32" s="77"/>
      <c r="T32" s="77"/>
      <c r="U32" s="77"/>
      <c r="V32" s="77"/>
      <c r="W32" s="12"/>
      <c r="X32" s="12"/>
      <c r="Y32" s="12"/>
      <c r="Z32" s="12"/>
    </row>
    <row r="33" ht="15.75" customHeight="1">
      <c r="A33" s="12"/>
      <c r="B33" s="40" t="s">
        <v>109</v>
      </c>
      <c r="C33" s="41">
        <v>346.6</v>
      </c>
      <c r="D33" s="44">
        <v>3124.71</v>
      </c>
      <c r="E33" s="44">
        <v>3575.91</v>
      </c>
      <c r="F33" s="41">
        <v>-12.15</v>
      </c>
      <c r="G33" s="45">
        <v>3307.6</v>
      </c>
      <c r="I33" s="40" t="s">
        <v>110</v>
      </c>
      <c r="J33" s="44">
        <v>2861.23</v>
      </c>
      <c r="K33" s="44">
        <v>3068.12</v>
      </c>
      <c r="L33" s="44">
        <v>3459.43</v>
      </c>
      <c r="M33" s="44">
        <v>3405.12</v>
      </c>
      <c r="N33" s="45">
        <v>3256.82</v>
      </c>
      <c r="O33" s="12"/>
      <c r="P33" s="77"/>
      <c r="Q33" s="77"/>
      <c r="R33" s="77"/>
      <c r="S33" s="77"/>
      <c r="T33" s="77"/>
      <c r="U33" s="77"/>
      <c r="V33" s="77"/>
      <c r="W33" s="12"/>
      <c r="X33" s="12"/>
      <c r="Y33" s="12"/>
      <c r="Z33" s="12"/>
    </row>
    <row r="34" ht="15.75" customHeight="1">
      <c r="A34" s="12"/>
      <c r="B34" s="34" t="s">
        <v>111</v>
      </c>
      <c r="C34" s="46">
        <v>1870.1</v>
      </c>
      <c r="D34" s="46">
        <v>8788.73</v>
      </c>
      <c r="E34" s="46">
        <v>19041.67</v>
      </c>
      <c r="F34" s="46">
        <v>2683.19</v>
      </c>
      <c r="G34" s="47">
        <v>7132.02</v>
      </c>
      <c r="I34" s="40" t="s">
        <v>112</v>
      </c>
      <c r="J34" s="44">
        <v>72952.84</v>
      </c>
      <c r="K34" s="44">
        <v>76719.69</v>
      </c>
      <c r="L34" s="44">
        <v>64794.29</v>
      </c>
      <c r="M34" s="44">
        <v>55051.4</v>
      </c>
      <c r="N34" s="45">
        <v>51680.25</v>
      </c>
      <c r="O34" s="12"/>
      <c r="P34" s="77"/>
      <c r="Q34" s="77"/>
      <c r="R34" s="77"/>
      <c r="S34" s="77"/>
      <c r="T34" s="77"/>
      <c r="U34" s="77"/>
      <c r="V34" s="77"/>
      <c r="W34" s="12"/>
      <c r="X34" s="12"/>
      <c r="Y34" s="12"/>
      <c r="Z34" s="12"/>
    </row>
    <row r="35" ht="15.75" customHeight="1">
      <c r="A35" s="12"/>
      <c r="B35" s="40" t="s">
        <v>113</v>
      </c>
      <c r="C35" s="44">
        <v>28740.95</v>
      </c>
      <c r="D35" s="44">
        <v>22367.89</v>
      </c>
      <c r="E35" s="44">
        <v>19932.99</v>
      </c>
      <c r="F35" s="44">
        <v>21628.84</v>
      </c>
      <c r="G35" s="45">
        <v>20410.03</v>
      </c>
      <c r="I35" s="34" t="s">
        <v>114</v>
      </c>
      <c r="J35" s="46">
        <v>-18290.82</v>
      </c>
      <c r="K35" s="46">
        <v>-19268.56</v>
      </c>
      <c r="L35" s="46">
        <v>-13262.52</v>
      </c>
      <c r="M35" s="46">
        <v>-11096.27</v>
      </c>
      <c r="N35" s="47">
        <v>-5598.47</v>
      </c>
      <c r="O35" s="12"/>
      <c r="P35" s="77"/>
      <c r="Q35" s="77"/>
      <c r="R35" s="77"/>
      <c r="S35" s="77"/>
      <c r="T35" s="77"/>
      <c r="U35" s="77"/>
      <c r="V35" s="77"/>
      <c r="W35" s="12"/>
      <c r="X35" s="12"/>
      <c r="Y35" s="12"/>
      <c r="Z35" s="12"/>
    </row>
    <row r="36" ht="15.75" customHeight="1">
      <c r="A36" s="12"/>
      <c r="B36" s="40" t="s">
        <v>115</v>
      </c>
      <c r="C36" s="44">
        <v>1301.55</v>
      </c>
      <c r="D36" s="44">
        <v>14750.92</v>
      </c>
      <c r="E36" s="44">
        <v>4555.43</v>
      </c>
      <c r="F36" s="44">
        <v>4818.86</v>
      </c>
      <c r="G36" s="45">
        <v>3540.39</v>
      </c>
      <c r="I36" s="34" t="s">
        <v>116</v>
      </c>
      <c r="J36" s="46">
        <v>87851.14</v>
      </c>
      <c r="K36" s="46">
        <v>73792.87</v>
      </c>
      <c r="L36" s="46">
        <v>75810.2</v>
      </c>
      <c r="M36" s="46">
        <v>71417.58</v>
      </c>
      <c r="N36" s="47">
        <v>63947.0</v>
      </c>
      <c r="O36" s="12"/>
      <c r="P36" s="77"/>
      <c r="Q36" s="77"/>
      <c r="R36" s="77"/>
      <c r="S36" s="77"/>
      <c r="T36" s="77"/>
      <c r="U36" s="77"/>
      <c r="V36" s="77"/>
      <c r="W36" s="12"/>
      <c r="X36" s="12"/>
      <c r="Y36" s="12"/>
      <c r="Z36" s="12"/>
    </row>
    <row r="37" ht="15.75" customHeight="1">
      <c r="A37" s="12"/>
      <c r="B37" s="40" t="s">
        <v>117</v>
      </c>
      <c r="C37" s="41">
        <v>0.0</v>
      </c>
      <c r="D37" s="41">
        <v>0.0</v>
      </c>
      <c r="E37" s="41">
        <v>0.0</v>
      </c>
      <c r="F37" s="41">
        <v>923.43</v>
      </c>
      <c r="G37" s="42">
        <v>647.95</v>
      </c>
      <c r="I37" s="37"/>
      <c r="J37" s="38"/>
      <c r="K37" s="38"/>
      <c r="L37" s="38"/>
      <c r="M37" s="38"/>
      <c r="N37" s="39"/>
      <c r="O37" s="12"/>
      <c r="P37" s="77"/>
      <c r="Q37" s="77"/>
      <c r="R37" s="77"/>
      <c r="S37" s="77"/>
      <c r="T37" s="77"/>
      <c r="U37" s="77"/>
      <c r="V37" s="77"/>
      <c r="W37" s="12"/>
      <c r="X37" s="12"/>
      <c r="Y37" s="12"/>
      <c r="Z37" s="12"/>
    </row>
    <row r="38" ht="15.75" customHeight="1">
      <c r="A38" s="12"/>
      <c r="B38" s="43" t="s">
        <v>118</v>
      </c>
      <c r="C38" s="18"/>
      <c r="D38" s="35"/>
      <c r="E38" s="35"/>
      <c r="F38" s="35"/>
      <c r="G38" s="36"/>
      <c r="I38" s="40" t="s">
        <v>119</v>
      </c>
      <c r="J38" s="44">
        <v>12223.06</v>
      </c>
      <c r="K38" s="44">
        <v>8516.7</v>
      </c>
      <c r="L38" s="44">
        <v>9852.33</v>
      </c>
      <c r="M38" s="44">
        <v>10828.22</v>
      </c>
      <c r="N38" s="45">
        <v>19102.49</v>
      </c>
      <c r="O38" s="49"/>
      <c r="P38" s="77"/>
      <c r="Q38" s="77"/>
      <c r="R38" s="77"/>
      <c r="S38" s="77"/>
      <c r="T38" s="77"/>
      <c r="U38" s="77"/>
      <c r="V38" s="77"/>
      <c r="W38" s="12"/>
      <c r="X38" s="12"/>
      <c r="Y38" s="12"/>
      <c r="Z38" s="12"/>
    </row>
    <row r="39" ht="15.75" customHeight="1">
      <c r="A39" s="12"/>
      <c r="B39" s="40" t="s">
        <v>120</v>
      </c>
      <c r="C39" s="44">
        <v>21294.55</v>
      </c>
      <c r="D39" s="44">
        <v>21294.55</v>
      </c>
      <c r="E39" s="44">
        <v>20929.13</v>
      </c>
      <c r="F39" s="44">
        <v>19668.8</v>
      </c>
      <c r="G39" s="45">
        <v>19668.8</v>
      </c>
      <c r="I39" s="40" t="s">
        <v>121</v>
      </c>
      <c r="J39" s="41">
        <v>244.18</v>
      </c>
      <c r="K39" s="41">
        <v>233.25</v>
      </c>
      <c r="L39" s="41">
        <v>256.52</v>
      </c>
      <c r="M39" s="41">
        <v>168.87</v>
      </c>
      <c r="N39" s="42">
        <v>186.78</v>
      </c>
      <c r="O39" s="12"/>
      <c r="P39" s="77"/>
      <c r="Q39" s="77"/>
      <c r="R39" s="77"/>
      <c r="S39" s="77"/>
      <c r="T39" s="77"/>
      <c r="U39" s="77"/>
      <c r="V39" s="77"/>
      <c r="W39" s="12"/>
      <c r="X39" s="12"/>
      <c r="Y39" s="12"/>
      <c r="Z39" s="12"/>
    </row>
    <row r="40" ht="15.75" customHeight="1">
      <c r="A40" s="12"/>
      <c r="B40" s="34" t="s">
        <v>122</v>
      </c>
      <c r="C40" s="35">
        <v>8.78</v>
      </c>
      <c r="D40" s="35">
        <v>41.27</v>
      </c>
      <c r="E40" s="35">
        <v>90.98</v>
      </c>
      <c r="F40" s="35">
        <v>13.64</v>
      </c>
      <c r="G40" s="36">
        <v>36.26</v>
      </c>
      <c r="O40" s="12"/>
      <c r="P40" s="77"/>
      <c r="Q40" s="77"/>
      <c r="R40" s="77"/>
      <c r="S40" s="77"/>
      <c r="T40" s="77"/>
      <c r="U40" s="77"/>
      <c r="V40" s="77"/>
      <c r="W40" s="12"/>
      <c r="X40" s="12"/>
      <c r="Y40" s="12"/>
      <c r="Z40" s="12"/>
    </row>
    <row r="41" ht="15.75" customHeight="1">
      <c r="A41" s="12"/>
      <c r="B41" s="40" t="s">
        <v>123</v>
      </c>
      <c r="C41" s="41">
        <v>40.0</v>
      </c>
      <c r="D41" s="41">
        <v>160.0</v>
      </c>
      <c r="E41" s="41">
        <v>790.0</v>
      </c>
      <c r="F41" s="41">
        <v>165.0</v>
      </c>
      <c r="G41" s="42">
        <v>190.0</v>
      </c>
      <c r="I41" s="56"/>
      <c r="J41" s="57"/>
      <c r="K41" s="57"/>
      <c r="L41" s="57"/>
      <c r="M41" s="57"/>
      <c r="N41" s="58"/>
      <c r="O41" s="12"/>
      <c r="P41" s="77"/>
      <c r="Q41" s="77"/>
      <c r="R41" s="77"/>
      <c r="S41" s="77"/>
      <c r="T41" s="77"/>
      <c r="U41" s="77"/>
      <c r="V41" s="77"/>
      <c r="W41" s="12"/>
      <c r="X41" s="12"/>
      <c r="Y41" s="12"/>
      <c r="Z41" s="12"/>
    </row>
    <row r="42" ht="15.75" customHeight="1">
      <c r="A42" s="12"/>
      <c r="B42" s="52" t="s">
        <v>121</v>
      </c>
      <c r="C42" s="54">
        <v>244.18</v>
      </c>
      <c r="D42" s="54">
        <v>233.25</v>
      </c>
      <c r="E42" s="54">
        <v>256.52</v>
      </c>
      <c r="F42" s="54">
        <v>168.87</v>
      </c>
      <c r="G42" s="55">
        <v>186.78</v>
      </c>
      <c r="H42" s="12"/>
      <c r="I42" s="12"/>
      <c r="J42" s="12"/>
      <c r="K42" s="12"/>
      <c r="L42" s="12"/>
      <c r="M42" s="12"/>
      <c r="N42" s="12"/>
      <c r="O42" s="12"/>
      <c r="P42" s="77"/>
      <c r="Q42" s="77"/>
      <c r="R42" s="77"/>
      <c r="S42" s="77"/>
      <c r="T42" s="77"/>
      <c r="U42" s="77"/>
      <c r="V42" s="77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77"/>
      <c r="Q43" s="77"/>
      <c r="R43" s="77"/>
      <c r="S43" s="77"/>
      <c r="T43" s="77"/>
      <c r="U43" s="77"/>
      <c r="V43" s="77"/>
      <c r="W43" s="12"/>
      <c r="X43" s="12"/>
      <c r="Y43" s="12"/>
      <c r="Z43" s="12"/>
    </row>
    <row r="44" ht="15.75" customHeight="1">
      <c r="A44" s="12"/>
      <c r="B44" s="12" t="s">
        <v>124</v>
      </c>
      <c r="C44" s="12">
        <v>344.3</v>
      </c>
      <c r="D44" s="12">
        <v>359.0</v>
      </c>
      <c r="E44" s="12">
        <v>427.0</v>
      </c>
      <c r="F44" s="12">
        <v>316.0</v>
      </c>
      <c r="G44" s="12">
        <v>398.0</v>
      </c>
      <c r="H44" s="12"/>
      <c r="I44" s="12"/>
      <c r="J44" s="12"/>
      <c r="K44" s="12"/>
      <c r="L44" s="12"/>
      <c r="M44" s="12"/>
      <c r="N44" s="12"/>
      <c r="O44" s="12"/>
      <c r="P44" s="77"/>
      <c r="Q44" s="77"/>
      <c r="R44" s="77"/>
      <c r="S44" s="77"/>
      <c r="T44" s="77"/>
      <c r="U44" s="77"/>
      <c r="V44" s="77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77"/>
      <c r="Q45" s="77"/>
      <c r="R45" s="77"/>
      <c r="S45" s="77"/>
      <c r="T45" s="77"/>
      <c r="U45" s="77"/>
      <c r="V45" s="77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77"/>
      <c r="Q46" s="77"/>
      <c r="R46" s="77"/>
      <c r="S46" s="77"/>
      <c r="T46" s="77"/>
      <c r="U46" s="77"/>
      <c r="V46" s="77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77"/>
      <c r="Q47" s="77"/>
      <c r="R47" s="77"/>
      <c r="S47" s="77"/>
      <c r="T47" s="77"/>
      <c r="U47" s="77"/>
      <c r="V47" s="77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77"/>
      <c r="Q48" s="77"/>
      <c r="R48" s="77"/>
      <c r="S48" s="77"/>
      <c r="T48" s="77"/>
      <c r="U48" s="77"/>
      <c r="V48" s="77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77"/>
      <c r="Q49" s="77"/>
      <c r="R49" s="77"/>
      <c r="S49" s="77"/>
      <c r="T49" s="77"/>
      <c r="U49" s="77"/>
      <c r="V49" s="77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77"/>
      <c r="Q50" s="77"/>
      <c r="R50" s="77"/>
      <c r="S50" s="77"/>
      <c r="T50" s="77"/>
      <c r="U50" s="77"/>
      <c r="V50" s="77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77"/>
      <c r="Q51" s="77"/>
      <c r="R51" s="77"/>
      <c r="S51" s="77"/>
      <c r="T51" s="77"/>
      <c r="U51" s="77"/>
      <c r="V51" s="77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77"/>
      <c r="Q52" s="77"/>
      <c r="R52" s="77"/>
      <c r="S52" s="77"/>
      <c r="T52" s="77"/>
      <c r="U52" s="77"/>
      <c r="V52" s="77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77"/>
      <c r="Q53" s="77"/>
      <c r="R53" s="77"/>
      <c r="S53" s="77"/>
      <c r="T53" s="77"/>
      <c r="U53" s="77"/>
      <c r="V53" s="77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77"/>
      <c r="Q54" s="77"/>
      <c r="R54" s="77"/>
      <c r="S54" s="77"/>
      <c r="T54" s="77"/>
      <c r="U54" s="77"/>
      <c r="V54" s="77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77"/>
      <c r="Q55" s="77"/>
      <c r="R55" s="77"/>
      <c r="S55" s="77"/>
      <c r="T55" s="77"/>
      <c r="U55" s="77"/>
      <c r="V55" s="77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77"/>
      <c r="Q56" s="77"/>
      <c r="R56" s="77"/>
      <c r="S56" s="77"/>
      <c r="T56" s="77"/>
      <c r="U56" s="77"/>
      <c r="V56" s="77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77"/>
      <c r="Q57" s="77"/>
      <c r="R57" s="77"/>
      <c r="S57" s="77"/>
      <c r="T57" s="77"/>
      <c r="U57" s="77"/>
      <c r="V57" s="77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77"/>
      <c r="Q58" s="77"/>
      <c r="R58" s="77"/>
      <c r="S58" s="77"/>
      <c r="T58" s="77"/>
      <c r="U58" s="77"/>
      <c r="V58" s="77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77"/>
      <c r="Q59" s="77"/>
      <c r="R59" s="77"/>
      <c r="S59" s="77"/>
      <c r="T59" s="77"/>
      <c r="U59" s="77"/>
      <c r="V59" s="77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77"/>
      <c r="Q60" s="77"/>
      <c r="R60" s="77"/>
      <c r="S60" s="77"/>
      <c r="T60" s="77"/>
      <c r="U60" s="77"/>
      <c r="V60" s="77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77"/>
      <c r="Q61" s="77"/>
      <c r="R61" s="77"/>
      <c r="S61" s="77"/>
      <c r="T61" s="77"/>
      <c r="U61" s="77"/>
      <c r="V61" s="77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77"/>
      <c r="Q62" s="77"/>
      <c r="R62" s="77"/>
      <c r="S62" s="77"/>
      <c r="T62" s="77"/>
      <c r="U62" s="77"/>
      <c r="V62" s="77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77"/>
      <c r="Q63" s="77"/>
      <c r="R63" s="77"/>
      <c r="S63" s="77"/>
      <c r="T63" s="77"/>
      <c r="U63" s="77"/>
      <c r="V63" s="77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77"/>
      <c r="Q64" s="77"/>
      <c r="R64" s="77"/>
      <c r="S64" s="77"/>
      <c r="T64" s="77"/>
      <c r="U64" s="77"/>
      <c r="V64" s="77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77"/>
      <c r="Q65" s="77"/>
      <c r="R65" s="77"/>
      <c r="S65" s="77"/>
      <c r="T65" s="77"/>
      <c r="U65" s="77"/>
      <c r="V65" s="77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77"/>
      <c r="Q66" s="77"/>
      <c r="R66" s="77"/>
      <c r="S66" s="77"/>
      <c r="T66" s="77"/>
      <c r="U66" s="77"/>
      <c r="V66" s="77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77"/>
      <c r="Q67" s="77"/>
      <c r="R67" s="77"/>
      <c r="S67" s="77"/>
      <c r="T67" s="77"/>
      <c r="U67" s="77"/>
      <c r="V67" s="77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77"/>
      <c r="Q68" s="77"/>
      <c r="R68" s="77"/>
      <c r="S68" s="77"/>
      <c r="T68" s="77"/>
      <c r="U68" s="77"/>
      <c r="V68" s="77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77"/>
      <c r="Q69" s="77"/>
      <c r="R69" s="77"/>
      <c r="S69" s="77"/>
      <c r="T69" s="77"/>
      <c r="U69" s="77"/>
      <c r="V69" s="77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77"/>
      <c r="Q70" s="77"/>
      <c r="R70" s="77"/>
      <c r="S70" s="77"/>
      <c r="T70" s="77"/>
      <c r="U70" s="77"/>
      <c r="V70" s="77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77"/>
      <c r="Q71" s="77"/>
      <c r="R71" s="77"/>
      <c r="S71" s="77"/>
      <c r="T71" s="77"/>
      <c r="U71" s="77"/>
      <c r="V71" s="77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77"/>
      <c r="Q72" s="77"/>
      <c r="R72" s="77"/>
      <c r="S72" s="77"/>
      <c r="T72" s="77"/>
      <c r="U72" s="77"/>
      <c r="V72" s="77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77"/>
      <c r="Q73" s="77"/>
      <c r="R73" s="77"/>
      <c r="S73" s="77"/>
      <c r="T73" s="77"/>
      <c r="U73" s="77"/>
      <c r="V73" s="77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77"/>
      <c r="Q74" s="77"/>
      <c r="R74" s="77"/>
      <c r="S74" s="77"/>
      <c r="T74" s="77"/>
      <c r="U74" s="77"/>
      <c r="V74" s="77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77"/>
      <c r="Q75" s="77"/>
      <c r="R75" s="77"/>
      <c r="S75" s="77"/>
      <c r="T75" s="77"/>
      <c r="U75" s="77"/>
      <c r="V75" s="77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77"/>
      <c r="Q76" s="77"/>
      <c r="R76" s="77"/>
      <c r="S76" s="77"/>
      <c r="T76" s="77"/>
      <c r="U76" s="77"/>
      <c r="V76" s="77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77"/>
      <c r="Q77" s="77"/>
      <c r="R77" s="77"/>
      <c r="S77" s="77"/>
      <c r="T77" s="77"/>
      <c r="U77" s="77"/>
      <c r="V77" s="77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77"/>
      <c r="Q78" s="77"/>
      <c r="R78" s="77"/>
      <c r="S78" s="77"/>
      <c r="T78" s="77"/>
      <c r="U78" s="77"/>
      <c r="V78" s="77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77"/>
      <c r="Q79" s="77"/>
      <c r="R79" s="77"/>
      <c r="S79" s="77"/>
      <c r="T79" s="77"/>
      <c r="U79" s="77"/>
      <c r="V79" s="77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77"/>
      <c r="Q80" s="77"/>
      <c r="R80" s="77"/>
      <c r="S80" s="77"/>
      <c r="T80" s="77"/>
      <c r="U80" s="77"/>
      <c r="V80" s="77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77"/>
      <c r="Q81" s="77"/>
      <c r="R81" s="77"/>
      <c r="S81" s="77"/>
      <c r="T81" s="77"/>
      <c r="U81" s="77"/>
      <c r="V81" s="77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77"/>
      <c r="Q82" s="77"/>
      <c r="R82" s="77"/>
      <c r="S82" s="77"/>
      <c r="T82" s="77"/>
      <c r="U82" s="77"/>
      <c r="V82" s="77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77"/>
      <c r="Q83" s="77"/>
      <c r="R83" s="77"/>
      <c r="S83" s="77"/>
      <c r="T83" s="77"/>
      <c r="U83" s="77"/>
      <c r="V83" s="77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77"/>
      <c r="Q84" s="77"/>
      <c r="R84" s="77"/>
      <c r="S84" s="77"/>
      <c r="T84" s="77"/>
      <c r="U84" s="77"/>
      <c r="V84" s="77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77"/>
      <c r="Q85" s="77"/>
      <c r="R85" s="77"/>
      <c r="S85" s="77"/>
      <c r="T85" s="77"/>
      <c r="U85" s="77"/>
      <c r="V85" s="77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77"/>
      <c r="Q86" s="77"/>
      <c r="R86" s="77"/>
      <c r="S86" s="77"/>
      <c r="T86" s="77"/>
      <c r="U86" s="77"/>
      <c r="V86" s="77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77"/>
      <c r="Q87" s="77"/>
      <c r="R87" s="77"/>
      <c r="S87" s="77"/>
      <c r="T87" s="77"/>
      <c r="U87" s="77"/>
      <c r="V87" s="77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77"/>
      <c r="Q88" s="77"/>
      <c r="R88" s="77"/>
      <c r="S88" s="77"/>
      <c r="T88" s="77"/>
      <c r="U88" s="77"/>
      <c r="V88" s="77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77"/>
      <c r="Q89" s="77"/>
      <c r="R89" s="77"/>
      <c r="S89" s="77"/>
      <c r="T89" s="77"/>
      <c r="U89" s="77"/>
      <c r="V89" s="77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77"/>
      <c r="Q90" s="77"/>
      <c r="R90" s="77"/>
      <c r="S90" s="77"/>
      <c r="T90" s="77"/>
      <c r="U90" s="77"/>
      <c r="V90" s="77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77"/>
      <c r="Q91" s="77"/>
      <c r="R91" s="77"/>
      <c r="S91" s="77"/>
      <c r="T91" s="77"/>
      <c r="U91" s="77"/>
      <c r="V91" s="77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77"/>
      <c r="Q92" s="77"/>
      <c r="R92" s="77"/>
      <c r="S92" s="77"/>
      <c r="T92" s="77"/>
      <c r="U92" s="77"/>
      <c r="V92" s="77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77"/>
      <c r="Q93" s="77"/>
      <c r="R93" s="77"/>
      <c r="S93" s="77"/>
      <c r="T93" s="77"/>
      <c r="U93" s="77"/>
      <c r="V93" s="77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77"/>
      <c r="Q94" s="77"/>
      <c r="R94" s="77"/>
      <c r="S94" s="77"/>
      <c r="T94" s="77"/>
      <c r="U94" s="77"/>
      <c r="V94" s="77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77"/>
      <c r="Q95" s="77"/>
      <c r="R95" s="77"/>
      <c r="S95" s="77"/>
      <c r="T95" s="77"/>
      <c r="U95" s="77"/>
      <c r="V95" s="77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77"/>
      <c r="Q96" s="77"/>
      <c r="R96" s="77"/>
      <c r="S96" s="77"/>
      <c r="T96" s="77"/>
      <c r="U96" s="77"/>
      <c r="V96" s="77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77"/>
      <c r="Q97" s="77"/>
      <c r="R97" s="77"/>
      <c r="S97" s="77"/>
      <c r="T97" s="77"/>
      <c r="U97" s="77"/>
      <c r="V97" s="77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77"/>
      <c r="Q98" s="77"/>
      <c r="R98" s="77"/>
      <c r="S98" s="77"/>
      <c r="T98" s="77"/>
      <c r="U98" s="77"/>
      <c r="V98" s="77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77"/>
      <c r="Q99" s="77"/>
      <c r="R99" s="77"/>
      <c r="S99" s="77"/>
      <c r="T99" s="77"/>
      <c r="U99" s="77"/>
      <c r="V99" s="77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77"/>
      <c r="Q100" s="77"/>
      <c r="R100" s="77"/>
      <c r="S100" s="77"/>
      <c r="T100" s="77"/>
      <c r="U100" s="77"/>
      <c r="V100" s="77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77"/>
      <c r="Q101" s="77"/>
      <c r="R101" s="77"/>
      <c r="S101" s="77"/>
      <c r="T101" s="77"/>
      <c r="U101" s="77"/>
      <c r="V101" s="77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77"/>
      <c r="Q102" s="77"/>
      <c r="R102" s="77"/>
      <c r="S102" s="77"/>
      <c r="T102" s="77"/>
      <c r="U102" s="77"/>
      <c r="V102" s="77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77"/>
      <c r="Q103" s="77"/>
      <c r="R103" s="77"/>
      <c r="S103" s="77"/>
      <c r="T103" s="77"/>
      <c r="U103" s="77"/>
      <c r="V103" s="77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77"/>
      <c r="Q104" s="77"/>
      <c r="R104" s="77"/>
      <c r="S104" s="77"/>
      <c r="T104" s="77"/>
      <c r="U104" s="77"/>
      <c r="V104" s="77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77"/>
      <c r="Q105" s="77"/>
      <c r="R105" s="77"/>
      <c r="S105" s="77"/>
      <c r="T105" s="77"/>
      <c r="U105" s="77"/>
      <c r="V105" s="77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77"/>
      <c r="Q106" s="77"/>
      <c r="R106" s="77"/>
      <c r="S106" s="77"/>
      <c r="T106" s="77"/>
      <c r="U106" s="77"/>
      <c r="V106" s="77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77"/>
      <c r="Q107" s="77"/>
      <c r="R107" s="77"/>
      <c r="S107" s="77"/>
      <c r="T107" s="77"/>
      <c r="U107" s="77"/>
      <c r="V107" s="77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77"/>
      <c r="Q108" s="77"/>
      <c r="R108" s="77"/>
      <c r="S108" s="77"/>
      <c r="T108" s="77"/>
      <c r="U108" s="77"/>
      <c r="V108" s="77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77"/>
      <c r="Q109" s="77"/>
      <c r="R109" s="77"/>
      <c r="S109" s="77"/>
      <c r="T109" s="77"/>
      <c r="U109" s="77"/>
      <c r="V109" s="77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77"/>
      <c r="Q110" s="77"/>
      <c r="R110" s="77"/>
      <c r="S110" s="77"/>
      <c r="T110" s="77"/>
      <c r="U110" s="77"/>
      <c r="V110" s="77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77"/>
      <c r="Q111" s="77"/>
      <c r="R111" s="77"/>
      <c r="S111" s="77"/>
      <c r="T111" s="77"/>
      <c r="U111" s="77"/>
      <c r="V111" s="77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77"/>
      <c r="Q112" s="77"/>
      <c r="R112" s="77"/>
      <c r="S112" s="77"/>
      <c r="T112" s="77"/>
      <c r="U112" s="77"/>
      <c r="V112" s="77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77"/>
      <c r="Q113" s="77"/>
      <c r="R113" s="77"/>
      <c r="S113" s="77"/>
      <c r="T113" s="77"/>
      <c r="U113" s="77"/>
      <c r="V113" s="77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77"/>
      <c r="Q114" s="77"/>
      <c r="R114" s="77"/>
      <c r="S114" s="77"/>
      <c r="T114" s="77"/>
      <c r="U114" s="77"/>
      <c r="V114" s="77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77"/>
      <c r="Q115" s="77"/>
      <c r="R115" s="77"/>
      <c r="S115" s="77"/>
      <c r="T115" s="77"/>
      <c r="U115" s="77"/>
      <c r="V115" s="77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77"/>
      <c r="Q116" s="77"/>
      <c r="R116" s="77"/>
      <c r="S116" s="77"/>
      <c r="T116" s="77"/>
      <c r="U116" s="77"/>
      <c r="V116" s="77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77"/>
      <c r="Q117" s="77"/>
      <c r="R117" s="77"/>
      <c r="S117" s="77"/>
      <c r="T117" s="77"/>
      <c r="U117" s="77"/>
      <c r="V117" s="77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77"/>
      <c r="Q118" s="77"/>
      <c r="R118" s="77"/>
      <c r="S118" s="77"/>
      <c r="T118" s="77"/>
      <c r="U118" s="77"/>
      <c r="V118" s="77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77"/>
      <c r="Q119" s="77"/>
      <c r="R119" s="77"/>
      <c r="S119" s="77"/>
      <c r="T119" s="77"/>
      <c r="U119" s="77"/>
      <c r="V119" s="77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77"/>
      <c r="Q120" s="77"/>
      <c r="R120" s="77"/>
      <c r="S120" s="77"/>
      <c r="T120" s="77"/>
      <c r="U120" s="77"/>
      <c r="V120" s="77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77"/>
      <c r="Q121" s="77"/>
      <c r="R121" s="77"/>
      <c r="S121" s="77"/>
      <c r="T121" s="77"/>
      <c r="U121" s="77"/>
      <c r="V121" s="77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77"/>
      <c r="Q122" s="77"/>
      <c r="R122" s="77"/>
      <c r="S122" s="77"/>
      <c r="T122" s="77"/>
      <c r="U122" s="77"/>
      <c r="V122" s="77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77"/>
      <c r="Q123" s="77"/>
      <c r="R123" s="77"/>
      <c r="S123" s="77"/>
      <c r="T123" s="77"/>
      <c r="U123" s="77"/>
      <c r="V123" s="77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77"/>
      <c r="Q124" s="77"/>
      <c r="R124" s="77"/>
      <c r="S124" s="77"/>
      <c r="T124" s="77"/>
      <c r="U124" s="77"/>
      <c r="V124" s="77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77"/>
      <c r="Q125" s="77"/>
      <c r="R125" s="77"/>
      <c r="S125" s="77"/>
      <c r="T125" s="77"/>
      <c r="U125" s="77"/>
      <c r="V125" s="77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77"/>
      <c r="Q126" s="77"/>
      <c r="R126" s="77"/>
      <c r="S126" s="77"/>
      <c r="T126" s="77"/>
      <c r="U126" s="77"/>
      <c r="V126" s="77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77"/>
      <c r="Q127" s="77"/>
      <c r="R127" s="77"/>
      <c r="S127" s="77"/>
      <c r="T127" s="77"/>
      <c r="U127" s="77"/>
      <c r="V127" s="77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77"/>
      <c r="Q128" s="77"/>
      <c r="R128" s="77"/>
      <c r="S128" s="77"/>
      <c r="T128" s="77"/>
      <c r="U128" s="77"/>
      <c r="V128" s="77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77"/>
      <c r="Q129" s="77"/>
      <c r="R129" s="77"/>
      <c r="S129" s="77"/>
      <c r="T129" s="77"/>
      <c r="U129" s="77"/>
      <c r="V129" s="77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77"/>
      <c r="Q130" s="77"/>
      <c r="R130" s="77"/>
      <c r="S130" s="77"/>
      <c r="T130" s="77"/>
      <c r="U130" s="77"/>
      <c r="V130" s="77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77"/>
      <c r="Q131" s="77"/>
      <c r="R131" s="77"/>
      <c r="S131" s="77"/>
      <c r="T131" s="77"/>
      <c r="U131" s="77"/>
      <c r="V131" s="77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77"/>
      <c r="Q132" s="77"/>
      <c r="R132" s="77"/>
      <c r="S132" s="77"/>
      <c r="T132" s="77"/>
      <c r="U132" s="77"/>
      <c r="V132" s="77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77"/>
      <c r="Q133" s="77"/>
      <c r="R133" s="77"/>
      <c r="S133" s="77"/>
      <c r="T133" s="77"/>
      <c r="U133" s="77"/>
      <c r="V133" s="77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77"/>
      <c r="Q134" s="77"/>
      <c r="R134" s="77"/>
      <c r="S134" s="77"/>
      <c r="T134" s="77"/>
      <c r="U134" s="77"/>
      <c r="V134" s="77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77"/>
      <c r="Q135" s="77"/>
      <c r="R135" s="77"/>
      <c r="S135" s="77"/>
      <c r="T135" s="77"/>
      <c r="U135" s="77"/>
      <c r="V135" s="77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77"/>
      <c r="Q136" s="77"/>
      <c r="R136" s="77"/>
      <c r="S136" s="77"/>
      <c r="T136" s="77"/>
      <c r="U136" s="77"/>
      <c r="V136" s="77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77"/>
      <c r="Q137" s="77"/>
      <c r="R137" s="77"/>
      <c r="S137" s="77"/>
      <c r="T137" s="77"/>
      <c r="U137" s="77"/>
      <c r="V137" s="77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77"/>
      <c r="Q138" s="77"/>
      <c r="R138" s="77"/>
      <c r="S138" s="77"/>
      <c r="T138" s="77"/>
      <c r="U138" s="77"/>
      <c r="V138" s="77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77"/>
      <c r="Q139" s="77"/>
      <c r="R139" s="77"/>
      <c r="S139" s="77"/>
      <c r="T139" s="77"/>
      <c r="U139" s="77"/>
      <c r="V139" s="77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77"/>
      <c r="Q140" s="77"/>
      <c r="R140" s="77"/>
      <c r="S140" s="77"/>
      <c r="T140" s="77"/>
      <c r="U140" s="77"/>
      <c r="V140" s="77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77"/>
      <c r="Q141" s="77"/>
      <c r="R141" s="77"/>
      <c r="S141" s="77"/>
      <c r="T141" s="77"/>
      <c r="U141" s="77"/>
      <c r="V141" s="77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77"/>
      <c r="Q142" s="77"/>
      <c r="R142" s="77"/>
      <c r="S142" s="77"/>
      <c r="T142" s="77"/>
      <c r="U142" s="77"/>
      <c r="V142" s="77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77"/>
      <c r="Q143" s="77"/>
      <c r="R143" s="77"/>
      <c r="S143" s="77"/>
      <c r="T143" s="77"/>
      <c r="U143" s="77"/>
      <c r="V143" s="77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77"/>
      <c r="Q144" s="77"/>
      <c r="R144" s="77"/>
      <c r="S144" s="77"/>
      <c r="T144" s="77"/>
      <c r="U144" s="77"/>
      <c r="V144" s="77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77"/>
      <c r="Q145" s="77"/>
      <c r="R145" s="77"/>
      <c r="S145" s="77"/>
      <c r="T145" s="77"/>
      <c r="U145" s="77"/>
      <c r="V145" s="77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77"/>
      <c r="Q146" s="77"/>
      <c r="R146" s="77"/>
      <c r="S146" s="77"/>
      <c r="T146" s="77"/>
      <c r="U146" s="77"/>
      <c r="V146" s="77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77"/>
      <c r="Q147" s="77"/>
      <c r="R147" s="77"/>
      <c r="S147" s="77"/>
      <c r="T147" s="77"/>
      <c r="U147" s="77"/>
      <c r="V147" s="77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77"/>
      <c r="Q148" s="77"/>
      <c r="R148" s="77"/>
      <c r="S148" s="77"/>
      <c r="T148" s="77"/>
      <c r="U148" s="77"/>
      <c r="V148" s="77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77"/>
      <c r="Q149" s="77"/>
      <c r="R149" s="77"/>
      <c r="S149" s="77"/>
      <c r="T149" s="77"/>
      <c r="U149" s="77"/>
      <c r="V149" s="77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77"/>
      <c r="Q150" s="77"/>
      <c r="R150" s="77"/>
      <c r="S150" s="77"/>
      <c r="T150" s="77"/>
      <c r="U150" s="77"/>
      <c r="V150" s="77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77"/>
      <c r="Q151" s="77"/>
      <c r="R151" s="77"/>
      <c r="S151" s="77"/>
      <c r="T151" s="77"/>
      <c r="U151" s="77"/>
      <c r="V151" s="77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77"/>
      <c r="Q152" s="77"/>
      <c r="R152" s="77"/>
      <c r="S152" s="77"/>
      <c r="T152" s="77"/>
      <c r="U152" s="77"/>
      <c r="V152" s="77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77"/>
      <c r="Q153" s="77"/>
      <c r="R153" s="77"/>
      <c r="S153" s="77"/>
      <c r="T153" s="77"/>
      <c r="U153" s="77"/>
      <c r="V153" s="77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77"/>
      <c r="Q154" s="77"/>
      <c r="R154" s="77"/>
      <c r="S154" s="77"/>
      <c r="T154" s="77"/>
      <c r="U154" s="77"/>
      <c r="V154" s="77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77"/>
      <c r="Q155" s="77"/>
      <c r="R155" s="77"/>
      <c r="S155" s="77"/>
      <c r="T155" s="77"/>
      <c r="U155" s="77"/>
      <c r="V155" s="77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77"/>
      <c r="Q156" s="77"/>
      <c r="R156" s="77"/>
      <c r="S156" s="77"/>
      <c r="T156" s="77"/>
      <c r="U156" s="77"/>
      <c r="V156" s="77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77"/>
      <c r="Q157" s="77"/>
      <c r="R157" s="77"/>
      <c r="S157" s="77"/>
      <c r="T157" s="77"/>
      <c r="U157" s="77"/>
      <c r="V157" s="77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77"/>
      <c r="Q158" s="77"/>
      <c r="R158" s="77"/>
      <c r="S158" s="77"/>
      <c r="T158" s="77"/>
      <c r="U158" s="77"/>
      <c r="V158" s="77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77"/>
      <c r="Q159" s="77"/>
      <c r="R159" s="77"/>
      <c r="S159" s="77"/>
      <c r="T159" s="77"/>
      <c r="U159" s="77"/>
      <c r="V159" s="77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77"/>
      <c r="Q160" s="77"/>
      <c r="R160" s="77"/>
      <c r="S160" s="77"/>
      <c r="T160" s="77"/>
      <c r="U160" s="77"/>
      <c r="V160" s="77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77"/>
      <c r="Q161" s="77"/>
      <c r="R161" s="77"/>
      <c r="S161" s="77"/>
      <c r="T161" s="77"/>
      <c r="U161" s="77"/>
      <c r="V161" s="77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77"/>
      <c r="Q162" s="77"/>
      <c r="R162" s="77"/>
      <c r="S162" s="77"/>
      <c r="T162" s="77"/>
      <c r="U162" s="77"/>
      <c r="V162" s="77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77"/>
      <c r="Q163" s="77"/>
      <c r="R163" s="77"/>
      <c r="S163" s="77"/>
      <c r="T163" s="77"/>
      <c r="U163" s="77"/>
      <c r="V163" s="77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77"/>
      <c r="Q164" s="77"/>
      <c r="R164" s="77"/>
      <c r="S164" s="77"/>
      <c r="T164" s="77"/>
      <c r="U164" s="77"/>
      <c r="V164" s="77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77"/>
      <c r="Q165" s="77"/>
      <c r="R165" s="77"/>
      <c r="S165" s="77"/>
      <c r="T165" s="77"/>
      <c r="U165" s="77"/>
      <c r="V165" s="77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77"/>
      <c r="Q166" s="77"/>
      <c r="R166" s="77"/>
      <c r="S166" s="77"/>
      <c r="T166" s="77"/>
      <c r="U166" s="77"/>
      <c r="V166" s="77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77"/>
      <c r="Q167" s="77"/>
      <c r="R167" s="77"/>
      <c r="S167" s="77"/>
      <c r="T167" s="77"/>
      <c r="U167" s="77"/>
      <c r="V167" s="77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77"/>
      <c r="Q168" s="77"/>
      <c r="R168" s="77"/>
      <c r="S168" s="77"/>
      <c r="T168" s="77"/>
      <c r="U168" s="77"/>
      <c r="V168" s="77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77"/>
      <c r="Q169" s="77"/>
      <c r="R169" s="77"/>
      <c r="S169" s="77"/>
      <c r="T169" s="77"/>
      <c r="U169" s="77"/>
      <c r="V169" s="77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77"/>
      <c r="Q170" s="77"/>
      <c r="R170" s="77"/>
      <c r="S170" s="77"/>
      <c r="T170" s="77"/>
      <c r="U170" s="77"/>
      <c r="V170" s="77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77"/>
      <c r="Q171" s="77"/>
      <c r="R171" s="77"/>
      <c r="S171" s="77"/>
      <c r="T171" s="77"/>
      <c r="U171" s="77"/>
      <c r="V171" s="77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77"/>
      <c r="Q172" s="77"/>
      <c r="R172" s="77"/>
      <c r="S172" s="77"/>
      <c r="T172" s="77"/>
      <c r="U172" s="77"/>
      <c r="V172" s="77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77"/>
      <c r="Q173" s="77"/>
      <c r="R173" s="77"/>
      <c r="S173" s="77"/>
      <c r="T173" s="77"/>
      <c r="U173" s="77"/>
      <c r="V173" s="77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77"/>
      <c r="Q174" s="77"/>
      <c r="R174" s="77"/>
      <c r="S174" s="77"/>
      <c r="T174" s="77"/>
      <c r="U174" s="77"/>
      <c r="V174" s="77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77"/>
      <c r="Q175" s="77"/>
      <c r="R175" s="77"/>
      <c r="S175" s="77"/>
      <c r="T175" s="77"/>
      <c r="U175" s="77"/>
      <c r="V175" s="77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77"/>
      <c r="Q176" s="77"/>
      <c r="R176" s="77"/>
      <c r="S176" s="77"/>
      <c r="T176" s="77"/>
      <c r="U176" s="77"/>
      <c r="V176" s="77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77"/>
      <c r="Q177" s="77"/>
      <c r="R177" s="77"/>
      <c r="S177" s="77"/>
      <c r="T177" s="77"/>
      <c r="U177" s="77"/>
      <c r="V177" s="77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77"/>
      <c r="Q178" s="77"/>
      <c r="R178" s="77"/>
      <c r="S178" s="77"/>
      <c r="T178" s="77"/>
      <c r="U178" s="77"/>
      <c r="V178" s="77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77"/>
      <c r="Q179" s="77"/>
      <c r="R179" s="77"/>
      <c r="S179" s="77"/>
      <c r="T179" s="77"/>
      <c r="U179" s="77"/>
      <c r="V179" s="77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77"/>
      <c r="Q180" s="77"/>
      <c r="R180" s="77"/>
      <c r="S180" s="77"/>
      <c r="T180" s="77"/>
      <c r="U180" s="77"/>
      <c r="V180" s="77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77"/>
      <c r="Q181" s="77"/>
      <c r="R181" s="77"/>
      <c r="S181" s="77"/>
      <c r="T181" s="77"/>
      <c r="U181" s="77"/>
      <c r="V181" s="77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77"/>
      <c r="Q182" s="77"/>
      <c r="R182" s="77"/>
      <c r="S182" s="77"/>
      <c r="T182" s="77"/>
      <c r="U182" s="77"/>
      <c r="V182" s="77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77"/>
      <c r="Q183" s="77"/>
      <c r="R183" s="77"/>
      <c r="S183" s="77"/>
      <c r="T183" s="77"/>
      <c r="U183" s="77"/>
      <c r="V183" s="77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77"/>
      <c r="Q184" s="77"/>
      <c r="R184" s="77"/>
      <c r="S184" s="77"/>
      <c r="T184" s="77"/>
      <c r="U184" s="77"/>
      <c r="V184" s="77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77"/>
      <c r="Q185" s="77"/>
      <c r="R185" s="77"/>
      <c r="S185" s="77"/>
      <c r="T185" s="77"/>
      <c r="U185" s="77"/>
      <c r="V185" s="77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77"/>
      <c r="Q186" s="77"/>
      <c r="R186" s="77"/>
      <c r="S186" s="77"/>
      <c r="T186" s="77"/>
      <c r="U186" s="77"/>
      <c r="V186" s="77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77"/>
      <c r="Q187" s="77"/>
      <c r="R187" s="77"/>
      <c r="S187" s="77"/>
      <c r="T187" s="77"/>
      <c r="U187" s="77"/>
      <c r="V187" s="77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77"/>
      <c r="Q188" s="77"/>
      <c r="R188" s="77"/>
      <c r="S188" s="77"/>
      <c r="T188" s="77"/>
      <c r="U188" s="77"/>
      <c r="V188" s="77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77"/>
      <c r="Q189" s="77"/>
      <c r="R189" s="77"/>
      <c r="S189" s="77"/>
      <c r="T189" s="77"/>
      <c r="U189" s="77"/>
      <c r="V189" s="77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77"/>
      <c r="Q190" s="77"/>
      <c r="R190" s="77"/>
      <c r="S190" s="77"/>
      <c r="T190" s="77"/>
      <c r="U190" s="77"/>
      <c r="V190" s="77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77"/>
      <c r="Q191" s="77"/>
      <c r="R191" s="77"/>
      <c r="S191" s="77"/>
      <c r="T191" s="77"/>
      <c r="U191" s="77"/>
      <c r="V191" s="77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77"/>
      <c r="Q192" s="77"/>
      <c r="R192" s="77"/>
      <c r="S192" s="77"/>
      <c r="T192" s="77"/>
      <c r="U192" s="77"/>
      <c r="V192" s="77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77"/>
      <c r="Q193" s="77"/>
      <c r="R193" s="77"/>
      <c r="S193" s="77"/>
      <c r="T193" s="77"/>
      <c r="U193" s="77"/>
      <c r="V193" s="77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77"/>
      <c r="Q194" s="77"/>
      <c r="R194" s="77"/>
      <c r="S194" s="77"/>
      <c r="T194" s="77"/>
      <c r="U194" s="77"/>
      <c r="V194" s="77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77"/>
      <c r="Q195" s="77"/>
      <c r="R195" s="77"/>
      <c r="S195" s="77"/>
      <c r="T195" s="77"/>
      <c r="U195" s="77"/>
      <c r="V195" s="77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77"/>
      <c r="Q196" s="77"/>
      <c r="R196" s="77"/>
      <c r="S196" s="77"/>
      <c r="T196" s="77"/>
      <c r="U196" s="77"/>
      <c r="V196" s="77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77"/>
      <c r="Q197" s="77"/>
      <c r="R197" s="77"/>
      <c r="S197" s="77"/>
      <c r="T197" s="77"/>
      <c r="U197" s="77"/>
      <c r="V197" s="77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77"/>
      <c r="Q198" s="77"/>
      <c r="R198" s="77"/>
      <c r="S198" s="77"/>
      <c r="T198" s="77"/>
      <c r="U198" s="77"/>
      <c r="V198" s="77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77"/>
      <c r="Q199" s="77"/>
      <c r="R199" s="77"/>
      <c r="S199" s="77"/>
      <c r="T199" s="77"/>
      <c r="U199" s="77"/>
      <c r="V199" s="77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77"/>
      <c r="Q200" s="77"/>
      <c r="R200" s="77"/>
      <c r="S200" s="77"/>
      <c r="T200" s="77"/>
      <c r="U200" s="77"/>
      <c r="V200" s="77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77"/>
      <c r="Q201" s="77"/>
      <c r="R201" s="77"/>
      <c r="S201" s="77"/>
      <c r="T201" s="77"/>
      <c r="U201" s="77"/>
      <c r="V201" s="77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77"/>
      <c r="Q202" s="77"/>
      <c r="R202" s="77"/>
      <c r="S202" s="77"/>
      <c r="T202" s="77"/>
      <c r="U202" s="77"/>
      <c r="V202" s="77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77"/>
      <c r="Q203" s="77"/>
      <c r="R203" s="77"/>
      <c r="S203" s="77"/>
      <c r="T203" s="77"/>
      <c r="U203" s="77"/>
      <c r="V203" s="77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77"/>
      <c r="Q204" s="77"/>
      <c r="R204" s="77"/>
      <c r="S204" s="77"/>
      <c r="T204" s="77"/>
      <c r="U204" s="77"/>
      <c r="V204" s="77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77"/>
      <c r="Q205" s="77"/>
      <c r="R205" s="77"/>
      <c r="S205" s="77"/>
      <c r="T205" s="77"/>
      <c r="U205" s="77"/>
      <c r="V205" s="77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77"/>
      <c r="Q206" s="77"/>
      <c r="R206" s="77"/>
      <c r="S206" s="77"/>
      <c r="T206" s="77"/>
      <c r="U206" s="77"/>
      <c r="V206" s="77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77"/>
      <c r="Q207" s="77"/>
      <c r="R207" s="77"/>
      <c r="S207" s="77"/>
      <c r="T207" s="77"/>
      <c r="U207" s="77"/>
      <c r="V207" s="77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77"/>
      <c r="Q208" s="77"/>
      <c r="R208" s="77"/>
      <c r="S208" s="77"/>
      <c r="T208" s="77"/>
      <c r="U208" s="77"/>
      <c r="V208" s="77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77"/>
      <c r="Q209" s="77"/>
      <c r="R209" s="77"/>
      <c r="S209" s="77"/>
      <c r="T209" s="77"/>
      <c r="U209" s="77"/>
      <c r="V209" s="77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77"/>
      <c r="Q210" s="77"/>
      <c r="R210" s="77"/>
      <c r="S210" s="77"/>
      <c r="T210" s="77"/>
      <c r="U210" s="77"/>
      <c r="V210" s="77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77"/>
      <c r="Q211" s="77"/>
      <c r="R211" s="77"/>
      <c r="S211" s="77"/>
      <c r="T211" s="77"/>
      <c r="U211" s="77"/>
      <c r="V211" s="77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77"/>
      <c r="Q212" s="77"/>
      <c r="R212" s="77"/>
      <c r="S212" s="77"/>
      <c r="T212" s="77"/>
      <c r="U212" s="77"/>
      <c r="V212" s="77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77"/>
      <c r="Q213" s="77"/>
      <c r="R213" s="77"/>
      <c r="S213" s="77"/>
      <c r="T213" s="77"/>
      <c r="U213" s="77"/>
      <c r="V213" s="77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77"/>
      <c r="Q214" s="77"/>
      <c r="R214" s="77"/>
      <c r="S214" s="77"/>
      <c r="T214" s="77"/>
      <c r="U214" s="77"/>
      <c r="V214" s="77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77"/>
      <c r="Q215" s="77"/>
      <c r="R215" s="77"/>
      <c r="S215" s="77"/>
      <c r="T215" s="77"/>
      <c r="U215" s="77"/>
      <c r="V215" s="77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77"/>
      <c r="Q216" s="77"/>
      <c r="R216" s="77"/>
      <c r="S216" s="77"/>
      <c r="T216" s="77"/>
      <c r="U216" s="77"/>
      <c r="V216" s="77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77"/>
      <c r="Q217" s="77"/>
      <c r="R217" s="77"/>
      <c r="S217" s="77"/>
      <c r="T217" s="77"/>
      <c r="U217" s="77"/>
      <c r="V217" s="77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77"/>
      <c r="Q218" s="77"/>
      <c r="R218" s="77"/>
      <c r="S218" s="77"/>
      <c r="T218" s="77"/>
      <c r="U218" s="77"/>
      <c r="V218" s="77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77"/>
      <c r="Q219" s="77"/>
      <c r="R219" s="77"/>
      <c r="S219" s="77"/>
      <c r="T219" s="77"/>
      <c r="U219" s="77"/>
      <c r="V219" s="77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77"/>
      <c r="Q220" s="77"/>
      <c r="R220" s="77"/>
      <c r="S220" s="77"/>
      <c r="T220" s="77"/>
      <c r="U220" s="77"/>
      <c r="V220" s="77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77"/>
      <c r="Q221" s="77"/>
      <c r="R221" s="77"/>
      <c r="S221" s="77"/>
      <c r="T221" s="77"/>
      <c r="U221" s="77"/>
      <c r="V221" s="77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77"/>
      <c r="Q222" s="77"/>
      <c r="R222" s="77"/>
      <c r="S222" s="77"/>
      <c r="T222" s="77"/>
      <c r="U222" s="77"/>
      <c r="V222" s="77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77"/>
      <c r="Q223" s="77"/>
      <c r="R223" s="77"/>
      <c r="S223" s="77"/>
      <c r="T223" s="77"/>
      <c r="U223" s="77"/>
      <c r="V223" s="77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77"/>
      <c r="Q224" s="77"/>
      <c r="R224" s="77"/>
      <c r="S224" s="77"/>
      <c r="T224" s="77"/>
      <c r="U224" s="77"/>
      <c r="V224" s="77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77"/>
      <c r="Q225" s="77"/>
      <c r="R225" s="77"/>
      <c r="S225" s="77"/>
      <c r="T225" s="77"/>
      <c r="U225" s="77"/>
      <c r="V225" s="77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77"/>
      <c r="Q226" s="77"/>
      <c r="R226" s="77"/>
      <c r="S226" s="77"/>
      <c r="T226" s="77"/>
      <c r="U226" s="77"/>
      <c r="V226" s="77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77"/>
      <c r="Q227" s="77"/>
      <c r="R227" s="77"/>
      <c r="S227" s="77"/>
      <c r="T227" s="77"/>
      <c r="U227" s="77"/>
      <c r="V227" s="77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77"/>
      <c r="Q228" s="77"/>
      <c r="R228" s="77"/>
      <c r="S228" s="77"/>
      <c r="T228" s="77"/>
      <c r="U228" s="77"/>
      <c r="V228" s="77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77"/>
      <c r="Q229" s="77"/>
      <c r="R229" s="77"/>
      <c r="S229" s="77"/>
      <c r="T229" s="77"/>
      <c r="U229" s="77"/>
      <c r="V229" s="77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77"/>
      <c r="Q230" s="77"/>
      <c r="R230" s="77"/>
      <c r="S230" s="77"/>
      <c r="T230" s="77"/>
      <c r="U230" s="77"/>
      <c r="V230" s="77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77"/>
      <c r="Q231" s="77"/>
      <c r="R231" s="77"/>
      <c r="S231" s="77"/>
      <c r="T231" s="77"/>
      <c r="U231" s="77"/>
      <c r="V231" s="77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77"/>
      <c r="Q232" s="77"/>
      <c r="R232" s="77"/>
      <c r="S232" s="77"/>
      <c r="T232" s="77"/>
      <c r="U232" s="77"/>
      <c r="V232" s="77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77"/>
      <c r="Q233" s="77"/>
      <c r="R233" s="77"/>
      <c r="S233" s="77"/>
      <c r="T233" s="77"/>
      <c r="U233" s="77"/>
      <c r="V233" s="77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77"/>
      <c r="Q234" s="77"/>
      <c r="R234" s="77"/>
      <c r="S234" s="77"/>
      <c r="T234" s="77"/>
      <c r="U234" s="77"/>
      <c r="V234" s="77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77"/>
      <c r="Q235" s="77"/>
      <c r="R235" s="77"/>
      <c r="S235" s="77"/>
      <c r="T235" s="77"/>
      <c r="U235" s="77"/>
      <c r="V235" s="77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77"/>
      <c r="Q236" s="77"/>
      <c r="R236" s="77"/>
      <c r="S236" s="77"/>
      <c r="T236" s="77"/>
      <c r="U236" s="77"/>
      <c r="V236" s="77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77"/>
      <c r="Q237" s="77"/>
      <c r="R237" s="77"/>
      <c r="S237" s="77"/>
      <c r="T237" s="77"/>
      <c r="U237" s="77"/>
      <c r="V237" s="77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77"/>
      <c r="Q238" s="77"/>
      <c r="R238" s="77"/>
      <c r="S238" s="77"/>
      <c r="T238" s="77"/>
      <c r="U238" s="77"/>
      <c r="V238" s="77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77"/>
      <c r="Q239" s="77"/>
      <c r="R239" s="77"/>
      <c r="S239" s="77"/>
      <c r="T239" s="77"/>
      <c r="U239" s="77"/>
      <c r="V239" s="77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77"/>
      <c r="Q240" s="77"/>
      <c r="R240" s="77"/>
      <c r="S240" s="77"/>
      <c r="T240" s="77"/>
      <c r="U240" s="77"/>
      <c r="V240" s="77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77"/>
      <c r="Q241" s="77"/>
      <c r="R241" s="77"/>
      <c r="S241" s="77"/>
      <c r="T241" s="77"/>
      <c r="U241" s="77"/>
      <c r="V241" s="77"/>
      <c r="W241" s="12"/>
      <c r="X241" s="12"/>
      <c r="Y241" s="12"/>
      <c r="Z241" s="12"/>
    </row>
    <row r="242" ht="15.75" customHeight="1">
      <c r="P242" s="78"/>
      <c r="Q242" s="78"/>
      <c r="R242" s="78"/>
      <c r="S242" s="78"/>
      <c r="T242" s="78"/>
      <c r="U242" s="78"/>
      <c r="V242" s="78"/>
    </row>
    <row r="243" ht="15.75" customHeight="1">
      <c r="P243" s="78"/>
      <c r="Q243" s="78"/>
      <c r="R243" s="78"/>
      <c r="S243" s="78"/>
      <c r="T243" s="78"/>
      <c r="U243" s="78"/>
      <c r="V243" s="78"/>
    </row>
    <row r="244" ht="15.75" customHeight="1">
      <c r="P244" s="78"/>
      <c r="Q244" s="78"/>
      <c r="R244" s="78"/>
      <c r="S244" s="78"/>
      <c r="T244" s="78"/>
      <c r="U244" s="78"/>
      <c r="V244" s="78"/>
    </row>
    <row r="245" ht="15.75" customHeight="1">
      <c r="P245" s="78"/>
      <c r="Q245" s="78"/>
      <c r="R245" s="78"/>
      <c r="S245" s="78"/>
      <c r="T245" s="78"/>
      <c r="U245" s="78"/>
      <c r="V245" s="78"/>
    </row>
    <row r="246" ht="15.75" customHeight="1">
      <c r="P246" s="78"/>
      <c r="Q246" s="78"/>
      <c r="R246" s="78"/>
      <c r="S246" s="78"/>
      <c r="T246" s="78"/>
      <c r="U246" s="78"/>
      <c r="V246" s="78"/>
    </row>
    <row r="247" ht="15.75" customHeight="1">
      <c r="P247" s="78"/>
      <c r="Q247" s="78"/>
      <c r="R247" s="78"/>
      <c r="S247" s="78"/>
      <c r="T247" s="78"/>
      <c r="U247" s="78"/>
      <c r="V247" s="78"/>
    </row>
    <row r="248" ht="15.75" customHeight="1">
      <c r="P248" s="78"/>
      <c r="Q248" s="78"/>
      <c r="R248" s="78"/>
      <c r="S248" s="78"/>
      <c r="T248" s="78"/>
      <c r="U248" s="78"/>
      <c r="V248" s="78"/>
    </row>
    <row r="249" ht="15.75" customHeight="1">
      <c r="P249" s="78"/>
      <c r="Q249" s="78"/>
      <c r="R249" s="78"/>
      <c r="S249" s="78"/>
      <c r="T249" s="78"/>
      <c r="U249" s="78"/>
      <c r="V249" s="78"/>
    </row>
    <row r="250" ht="15.75" customHeight="1">
      <c r="P250" s="78"/>
      <c r="Q250" s="78"/>
      <c r="R250" s="78"/>
      <c r="S250" s="78"/>
      <c r="T250" s="78"/>
      <c r="U250" s="78"/>
      <c r="V250" s="78"/>
    </row>
    <row r="251" ht="15.75" customHeight="1">
      <c r="P251" s="78"/>
      <c r="Q251" s="78"/>
      <c r="R251" s="78"/>
      <c r="S251" s="78"/>
      <c r="T251" s="78"/>
      <c r="U251" s="78"/>
      <c r="V251" s="78"/>
    </row>
    <row r="252" ht="15.75" customHeight="1">
      <c r="P252" s="78"/>
      <c r="Q252" s="78"/>
      <c r="R252" s="78"/>
      <c r="S252" s="78"/>
      <c r="T252" s="78"/>
      <c r="U252" s="78"/>
      <c r="V252" s="78"/>
    </row>
    <row r="253" ht="15.75" customHeight="1">
      <c r="P253" s="78"/>
      <c r="Q253" s="78"/>
      <c r="R253" s="78"/>
      <c r="S253" s="78"/>
      <c r="T253" s="78"/>
      <c r="U253" s="78"/>
      <c r="V253" s="78"/>
    </row>
    <row r="254" ht="15.75" customHeight="1">
      <c r="P254" s="78"/>
      <c r="Q254" s="78"/>
      <c r="R254" s="78"/>
      <c r="S254" s="78"/>
      <c r="T254" s="78"/>
      <c r="U254" s="78"/>
      <c r="V254" s="78"/>
    </row>
    <row r="255" ht="15.75" customHeight="1">
      <c r="P255" s="78"/>
      <c r="Q255" s="78"/>
      <c r="R255" s="78"/>
      <c r="S255" s="78"/>
      <c r="T255" s="78"/>
      <c r="U255" s="78"/>
      <c r="V255" s="78"/>
    </row>
    <row r="256" ht="15.75" customHeight="1">
      <c r="P256" s="78"/>
      <c r="Q256" s="78"/>
      <c r="R256" s="78"/>
      <c r="S256" s="78"/>
      <c r="T256" s="78"/>
      <c r="U256" s="78"/>
      <c r="V256" s="78"/>
    </row>
    <row r="257" ht="15.75" customHeight="1">
      <c r="P257" s="78"/>
      <c r="Q257" s="78"/>
      <c r="R257" s="78"/>
      <c r="S257" s="78"/>
      <c r="T257" s="78"/>
      <c r="U257" s="78"/>
      <c r="V257" s="78"/>
    </row>
    <row r="258" ht="15.75" customHeight="1">
      <c r="P258" s="78"/>
      <c r="Q258" s="78"/>
      <c r="R258" s="78"/>
      <c r="S258" s="78"/>
      <c r="T258" s="78"/>
      <c r="U258" s="78"/>
      <c r="V258" s="78"/>
    </row>
    <row r="259" ht="15.75" customHeight="1">
      <c r="P259" s="78"/>
      <c r="Q259" s="78"/>
      <c r="R259" s="78"/>
      <c r="S259" s="78"/>
      <c r="T259" s="78"/>
      <c r="U259" s="78"/>
      <c r="V259" s="78"/>
    </row>
    <row r="260" ht="15.75" customHeight="1">
      <c r="P260" s="78"/>
      <c r="Q260" s="78"/>
      <c r="R260" s="78"/>
      <c r="S260" s="78"/>
      <c r="T260" s="78"/>
      <c r="U260" s="78"/>
      <c r="V260" s="78"/>
    </row>
    <row r="261" ht="15.75" customHeight="1">
      <c r="P261" s="78"/>
      <c r="Q261" s="78"/>
      <c r="R261" s="78"/>
      <c r="S261" s="78"/>
      <c r="T261" s="78"/>
      <c r="U261" s="78"/>
      <c r="V261" s="78"/>
    </row>
    <row r="262" ht="15.75" customHeight="1">
      <c r="P262" s="78"/>
      <c r="Q262" s="78"/>
      <c r="R262" s="78"/>
      <c r="S262" s="78"/>
      <c r="T262" s="78"/>
      <c r="U262" s="78"/>
      <c r="V262" s="78"/>
    </row>
    <row r="263" ht="15.75" customHeight="1">
      <c r="P263" s="78"/>
      <c r="Q263" s="78"/>
      <c r="R263" s="78"/>
      <c r="S263" s="78"/>
      <c r="T263" s="78"/>
      <c r="U263" s="78"/>
      <c r="V263" s="78"/>
    </row>
    <row r="264" ht="15.75" customHeight="1">
      <c r="P264" s="78"/>
      <c r="Q264" s="78"/>
      <c r="R264" s="78"/>
      <c r="S264" s="78"/>
      <c r="T264" s="78"/>
      <c r="U264" s="78"/>
      <c r="V264" s="78"/>
    </row>
    <row r="265" ht="15.75" customHeight="1">
      <c r="P265" s="78"/>
      <c r="Q265" s="78"/>
      <c r="R265" s="78"/>
      <c r="S265" s="78"/>
      <c r="T265" s="78"/>
      <c r="U265" s="78"/>
      <c r="V265" s="78"/>
    </row>
    <row r="266" ht="15.75" customHeight="1">
      <c r="P266" s="78"/>
      <c r="Q266" s="78"/>
      <c r="R266" s="78"/>
      <c r="S266" s="78"/>
      <c r="T266" s="78"/>
      <c r="U266" s="78"/>
      <c r="V266" s="78"/>
    </row>
    <row r="267" ht="15.75" customHeight="1">
      <c r="P267" s="78"/>
      <c r="Q267" s="78"/>
      <c r="R267" s="78"/>
      <c r="S267" s="78"/>
      <c r="T267" s="78"/>
      <c r="U267" s="78"/>
      <c r="V267" s="78"/>
    </row>
    <row r="268" ht="15.75" customHeight="1">
      <c r="P268" s="78"/>
      <c r="Q268" s="78"/>
      <c r="R268" s="78"/>
      <c r="S268" s="78"/>
      <c r="T268" s="78"/>
      <c r="U268" s="78"/>
      <c r="V268" s="78"/>
    </row>
    <row r="269" ht="15.75" customHeight="1">
      <c r="P269" s="78"/>
      <c r="Q269" s="78"/>
      <c r="R269" s="78"/>
      <c r="S269" s="78"/>
      <c r="T269" s="78"/>
      <c r="U269" s="78"/>
      <c r="V269" s="78"/>
    </row>
    <row r="270" ht="15.75" customHeight="1">
      <c r="P270" s="78"/>
      <c r="Q270" s="78"/>
      <c r="R270" s="78"/>
      <c r="S270" s="78"/>
      <c r="T270" s="78"/>
      <c r="U270" s="78"/>
      <c r="V270" s="78"/>
    </row>
    <row r="271" ht="15.75" customHeight="1">
      <c r="P271" s="78"/>
      <c r="Q271" s="78"/>
      <c r="R271" s="78"/>
      <c r="S271" s="78"/>
      <c r="T271" s="78"/>
      <c r="U271" s="78"/>
      <c r="V271" s="78"/>
    </row>
    <row r="272" ht="15.75" customHeight="1">
      <c r="P272" s="78"/>
      <c r="Q272" s="78"/>
      <c r="R272" s="78"/>
      <c r="S272" s="78"/>
      <c r="T272" s="78"/>
      <c r="U272" s="78"/>
      <c r="V272" s="78"/>
    </row>
    <row r="273" ht="15.75" customHeight="1">
      <c r="P273" s="78"/>
      <c r="Q273" s="78"/>
      <c r="R273" s="78"/>
      <c r="S273" s="78"/>
      <c r="T273" s="78"/>
      <c r="U273" s="78"/>
      <c r="V273" s="78"/>
    </row>
    <row r="274" ht="15.75" customHeight="1">
      <c r="P274" s="78"/>
      <c r="Q274" s="78"/>
      <c r="R274" s="78"/>
      <c r="S274" s="78"/>
      <c r="T274" s="78"/>
      <c r="U274" s="78"/>
      <c r="V274" s="78"/>
    </row>
    <row r="275" ht="15.75" customHeight="1">
      <c r="P275" s="78"/>
      <c r="Q275" s="78"/>
      <c r="R275" s="78"/>
      <c r="S275" s="78"/>
      <c r="T275" s="78"/>
      <c r="U275" s="78"/>
      <c r="V275" s="78"/>
    </row>
    <row r="276" ht="15.75" customHeight="1">
      <c r="P276" s="78"/>
      <c r="Q276" s="78"/>
      <c r="R276" s="78"/>
      <c r="S276" s="78"/>
      <c r="T276" s="78"/>
      <c r="U276" s="78"/>
      <c r="V276" s="78"/>
    </row>
    <row r="277" ht="15.75" customHeight="1">
      <c r="P277" s="78"/>
      <c r="Q277" s="78"/>
      <c r="R277" s="78"/>
      <c r="S277" s="78"/>
      <c r="T277" s="78"/>
      <c r="U277" s="78"/>
      <c r="V277" s="78"/>
    </row>
    <row r="278" ht="15.75" customHeight="1">
      <c r="P278" s="78"/>
      <c r="Q278" s="78"/>
      <c r="R278" s="78"/>
      <c r="S278" s="78"/>
      <c r="T278" s="78"/>
      <c r="U278" s="78"/>
      <c r="V278" s="78"/>
    </row>
    <row r="279" ht="15.75" customHeight="1">
      <c r="P279" s="78"/>
      <c r="Q279" s="78"/>
      <c r="R279" s="78"/>
      <c r="S279" s="78"/>
      <c r="T279" s="78"/>
      <c r="U279" s="78"/>
      <c r="V279" s="78"/>
    </row>
    <row r="280" ht="15.75" customHeight="1">
      <c r="P280" s="78"/>
      <c r="Q280" s="78"/>
      <c r="R280" s="78"/>
      <c r="S280" s="78"/>
      <c r="T280" s="78"/>
      <c r="U280" s="78"/>
      <c r="V280" s="78"/>
    </row>
    <row r="281" ht="15.75" customHeight="1">
      <c r="P281" s="78"/>
      <c r="Q281" s="78"/>
      <c r="R281" s="78"/>
      <c r="S281" s="78"/>
      <c r="T281" s="78"/>
      <c r="U281" s="78"/>
      <c r="V281" s="78"/>
    </row>
    <row r="282" ht="15.75" customHeight="1">
      <c r="P282" s="78"/>
      <c r="Q282" s="78"/>
      <c r="R282" s="78"/>
      <c r="S282" s="78"/>
      <c r="T282" s="78"/>
      <c r="U282" s="78"/>
      <c r="V282" s="78"/>
    </row>
    <row r="283" ht="15.75" customHeight="1">
      <c r="P283" s="78"/>
      <c r="Q283" s="78"/>
      <c r="R283" s="78"/>
      <c r="S283" s="78"/>
      <c r="T283" s="78"/>
      <c r="U283" s="78"/>
      <c r="V283" s="78"/>
    </row>
    <row r="284" ht="15.75" customHeight="1">
      <c r="P284" s="78"/>
      <c r="Q284" s="78"/>
      <c r="R284" s="78"/>
      <c r="S284" s="78"/>
      <c r="T284" s="78"/>
      <c r="U284" s="78"/>
      <c r="V284" s="78"/>
    </row>
    <row r="285" ht="15.75" customHeight="1">
      <c r="P285" s="78"/>
      <c r="Q285" s="78"/>
      <c r="R285" s="78"/>
      <c r="S285" s="78"/>
      <c r="T285" s="78"/>
      <c r="U285" s="78"/>
      <c r="V285" s="78"/>
    </row>
    <row r="286" ht="15.75" customHeight="1">
      <c r="P286" s="78"/>
      <c r="Q286" s="78"/>
      <c r="R286" s="78"/>
      <c r="S286" s="78"/>
      <c r="T286" s="78"/>
      <c r="U286" s="78"/>
      <c r="V286" s="78"/>
    </row>
    <row r="287" ht="15.75" customHeight="1">
      <c r="P287" s="78"/>
      <c r="Q287" s="78"/>
      <c r="R287" s="78"/>
      <c r="S287" s="78"/>
      <c r="T287" s="78"/>
      <c r="U287" s="78"/>
      <c r="V287" s="78"/>
    </row>
    <row r="288" ht="15.75" customHeight="1">
      <c r="P288" s="78"/>
      <c r="Q288" s="78"/>
      <c r="R288" s="78"/>
      <c r="S288" s="78"/>
      <c r="T288" s="78"/>
      <c r="U288" s="78"/>
      <c r="V288" s="78"/>
    </row>
    <row r="289" ht="15.75" customHeight="1">
      <c r="P289" s="78"/>
      <c r="Q289" s="78"/>
      <c r="R289" s="78"/>
      <c r="S289" s="78"/>
      <c r="T289" s="78"/>
      <c r="U289" s="78"/>
      <c r="V289" s="78"/>
    </row>
    <row r="290" ht="15.75" customHeight="1">
      <c r="P290" s="78"/>
      <c r="Q290" s="78"/>
      <c r="R290" s="78"/>
      <c r="S290" s="78"/>
      <c r="T290" s="78"/>
      <c r="U290" s="78"/>
      <c r="V290" s="78"/>
    </row>
    <row r="291" ht="15.75" customHeight="1">
      <c r="P291" s="78"/>
      <c r="Q291" s="78"/>
      <c r="R291" s="78"/>
      <c r="S291" s="78"/>
      <c r="T291" s="78"/>
      <c r="U291" s="78"/>
      <c r="V291" s="78"/>
    </row>
    <row r="292" ht="15.75" customHeight="1">
      <c r="P292" s="78"/>
      <c r="Q292" s="78"/>
      <c r="R292" s="78"/>
      <c r="S292" s="78"/>
      <c r="T292" s="78"/>
      <c r="U292" s="78"/>
      <c r="V292" s="78"/>
    </row>
    <row r="293" ht="15.75" customHeight="1">
      <c r="P293" s="78"/>
      <c r="Q293" s="78"/>
      <c r="R293" s="78"/>
      <c r="S293" s="78"/>
      <c r="T293" s="78"/>
      <c r="U293" s="78"/>
      <c r="V293" s="78"/>
    </row>
    <row r="294" ht="15.75" customHeight="1">
      <c r="P294" s="78"/>
      <c r="Q294" s="78"/>
      <c r="R294" s="78"/>
      <c r="S294" s="78"/>
      <c r="T294" s="78"/>
      <c r="U294" s="78"/>
      <c r="V294" s="78"/>
    </row>
    <row r="295" ht="15.75" customHeight="1">
      <c r="P295" s="78"/>
      <c r="Q295" s="78"/>
      <c r="R295" s="78"/>
      <c r="S295" s="78"/>
      <c r="T295" s="78"/>
      <c r="U295" s="78"/>
      <c r="V295" s="78"/>
    </row>
    <row r="296" ht="15.75" customHeight="1">
      <c r="P296" s="78"/>
      <c r="Q296" s="78"/>
      <c r="R296" s="78"/>
      <c r="S296" s="78"/>
      <c r="T296" s="78"/>
      <c r="U296" s="78"/>
      <c r="V296" s="78"/>
    </row>
    <row r="297" ht="15.75" customHeight="1">
      <c r="P297" s="78"/>
      <c r="Q297" s="78"/>
      <c r="R297" s="78"/>
      <c r="S297" s="78"/>
      <c r="T297" s="78"/>
      <c r="U297" s="78"/>
      <c r="V297" s="78"/>
    </row>
    <row r="298" ht="15.75" customHeight="1">
      <c r="P298" s="78"/>
      <c r="Q298" s="78"/>
      <c r="R298" s="78"/>
      <c r="S298" s="78"/>
      <c r="T298" s="78"/>
      <c r="U298" s="78"/>
      <c r="V298" s="78"/>
    </row>
    <row r="299" ht="15.75" customHeight="1">
      <c r="P299" s="78"/>
      <c r="Q299" s="78"/>
      <c r="R299" s="78"/>
      <c r="S299" s="78"/>
      <c r="T299" s="78"/>
      <c r="U299" s="78"/>
      <c r="V299" s="78"/>
    </row>
    <row r="300" ht="15.75" customHeight="1">
      <c r="P300" s="78"/>
      <c r="Q300" s="78"/>
      <c r="R300" s="78"/>
      <c r="S300" s="78"/>
      <c r="T300" s="78"/>
      <c r="U300" s="78"/>
      <c r="V300" s="78"/>
    </row>
    <row r="301" ht="15.75" customHeight="1">
      <c r="P301" s="78"/>
      <c r="Q301" s="78"/>
      <c r="R301" s="78"/>
      <c r="S301" s="78"/>
      <c r="T301" s="78"/>
      <c r="U301" s="78"/>
      <c r="V301" s="78"/>
    </row>
    <row r="302" ht="15.75" customHeight="1">
      <c r="P302" s="78"/>
      <c r="Q302" s="78"/>
      <c r="R302" s="78"/>
      <c r="S302" s="78"/>
      <c r="T302" s="78"/>
      <c r="U302" s="78"/>
      <c r="V302" s="78"/>
    </row>
    <row r="303" ht="15.75" customHeight="1">
      <c r="P303" s="78"/>
      <c r="Q303" s="78"/>
      <c r="R303" s="78"/>
      <c r="S303" s="78"/>
      <c r="T303" s="78"/>
      <c r="U303" s="78"/>
      <c r="V303" s="78"/>
    </row>
    <row r="304" ht="15.75" customHeight="1">
      <c r="P304" s="78"/>
      <c r="Q304" s="78"/>
      <c r="R304" s="78"/>
      <c r="S304" s="78"/>
      <c r="T304" s="78"/>
      <c r="U304" s="78"/>
      <c r="V304" s="78"/>
    </row>
    <row r="305" ht="15.75" customHeight="1">
      <c r="P305" s="78"/>
      <c r="Q305" s="78"/>
      <c r="R305" s="78"/>
      <c r="S305" s="78"/>
      <c r="T305" s="78"/>
      <c r="U305" s="78"/>
      <c r="V305" s="78"/>
    </row>
    <row r="306" ht="15.75" customHeight="1">
      <c r="P306" s="78"/>
      <c r="Q306" s="78"/>
      <c r="R306" s="78"/>
      <c r="S306" s="78"/>
      <c r="T306" s="78"/>
      <c r="U306" s="78"/>
      <c r="V306" s="78"/>
    </row>
    <row r="307" ht="15.75" customHeight="1">
      <c r="P307" s="78"/>
      <c r="Q307" s="78"/>
      <c r="R307" s="78"/>
      <c r="S307" s="78"/>
      <c r="T307" s="78"/>
      <c r="U307" s="78"/>
      <c r="V307" s="78"/>
    </row>
    <row r="308" ht="15.75" customHeight="1">
      <c r="P308" s="78"/>
      <c r="Q308" s="78"/>
      <c r="R308" s="78"/>
      <c r="S308" s="78"/>
      <c r="T308" s="78"/>
      <c r="U308" s="78"/>
      <c r="V308" s="78"/>
    </row>
    <row r="309" ht="15.75" customHeight="1">
      <c r="P309" s="78"/>
      <c r="Q309" s="78"/>
      <c r="R309" s="78"/>
      <c r="S309" s="78"/>
      <c r="T309" s="78"/>
      <c r="U309" s="78"/>
      <c r="V309" s="78"/>
    </row>
    <row r="310" ht="15.75" customHeight="1">
      <c r="P310" s="78"/>
      <c r="Q310" s="78"/>
      <c r="R310" s="78"/>
      <c r="S310" s="78"/>
      <c r="T310" s="78"/>
      <c r="U310" s="78"/>
      <c r="V310" s="78"/>
    </row>
    <row r="311" ht="15.75" customHeight="1">
      <c r="P311" s="78"/>
      <c r="Q311" s="78"/>
      <c r="R311" s="78"/>
      <c r="S311" s="78"/>
      <c r="T311" s="78"/>
      <c r="U311" s="78"/>
      <c r="V311" s="78"/>
    </row>
    <row r="312" ht="15.75" customHeight="1">
      <c r="P312" s="78"/>
      <c r="Q312" s="78"/>
      <c r="R312" s="78"/>
      <c r="S312" s="78"/>
      <c r="T312" s="78"/>
      <c r="U312" s="78"/>
      <c r="V312" s="78"/>
    </row>
    <row r="313" ht="15.75" customHeight="1">
      <c r="P313" s="78"/>
      <c r="Q313" s="78"/>
      <c r="R313" s="78"/>
      <c r="S313" s="78"/>
      <c r="T313" s="78"/>
      <c r="U313" s="78"/>
      <c r="V313" s="78"/>
    </row>
    <row r="314" ht="15.75" customHeight="1">
      <c r="P314" s="78"/>
      <c r="Q314" s="78"/>
      <c r="R314" s="78"/>
      <c r="S314" s="78"/>
      <c r="T314" s="78"/>
      <c r="U314" s="78"/>
      <c r="V314" s="78"/>
    </row>
    <row r="315" ht="15.75" customHeight="1">
      <c r="P315" s="78"/>
      <c r="Q315" s="78"/>
      <c r="R315" s="78"/>
      <c r="S315" s="78"/>
      <c r="T315" s="78"/>
      <c r="U315" s="78"/>
      <c r="V315" s="78"/>
    </row>
    <row r="316" ht="15.75" customHeight="1">
      <c r="P316" s="78"/>
      <c r="Q316" s="78"/>
      <c r="R316" s="78"/>
      <c r="S316" s="78"/>
      <c r="T316" s="78"/>
      <c r="U316" s="78"/>
      <c r="V316" s="78"/>
    </row>
    <row r="317" ht="15.75" customHeight="1">
      <c r="P317" s="78"/>
      <c r="Q317" s="78"/>
      <c r="R317" s="78"/>
      <c r="S317" s="78"/>
      <c r="T317" s="78"/>
      <c r="U317" s="78"/>
      <c r="V317" s="78"/>
    </row>
    <row r="318" ht="15.75" customHeight="1">
      <c r="P318" s="78"/>
      <c r="Q318" s="78"/>
      <c r="R318" s="78"/>
      <c r="S318" s="78"/>
      <c r="T318" s="78"/>
      <c r="U318" s="78"/>
      <c r="V318" s="78"/>
    </row>
    <row r="319" ht="15.75" customHeight="1">
      <c r="P319" s="78"/>
      <c r="Q319" s="78"/>
      <c r="R319" s="78"/>
      <c r="S319" s="78"/>
      <c r="T319" s="78"/>
      <c r="U319" s="78"/>
      <c r="V319" s="78"/>
    </row>
    <row r="320" ht="15.75" customHeight="1">
      <c r="P320" s="78"/>
      <c r="Q320" s="78"/>
      <c r="R320" s="78"/>
      <c r="S320" s="78"/>
      <c r="T320" s="78"/>
      <c r="U320" s="78"/>
      <c r="V320" s="78"/>
    </row>
    <row r="321" ht="15.75" customHeight="1">
      <c r="P321" s="78"/>
      <c r="Q321" s="78"/>
      <c r="R321" s="78"/>
      <c r="S321" s="78"/>
      <c r="T321" s="78"/>
      <c r="U321" s="78"/>
      <c r="V321" s="78"/>
    </row>
    <row r="322" ht="15.75" customHeight="1">
      <c r="P322" s="78"/>
      <c r="Q322" s="78"/>
      <c r="R322" s="78"/>
      <c r="S322" s="78"/>
      <c r="T322" s="78"/>
      <c r="U322" s="78"/>
      <c r="V322" s="78"/>
    </row>
    <row r="323" ht="15.75" customHeight="1">
      <c r="P323" s="78"/>
      <c r="Q323" s="78"/>
      <c r="R323" s="78"/>
      <c r="S323" s="78"/>
      <c r="T323" s="78"/>
      <c r="U323" s="78"/>
      <c r="V323" s="78"/>
    </row>
    <row r="324" ht="15.75" customHeight="1">
      <c r="P324" s="78"/>
      <c r="Q324" s="78"/>
      <c r="R324" s="78"/>
      <c r="S324" s="78"/>
      <c r="T324" s="78"/>
      <c r="U324" s="78"/>
      <c r="V324" s="78"/>
    </row>
    <row r="325" ht="15.75" customHeight="1">
      <c r="P325" s="78"/>
      <c r="Q325" s="78"/>
      <c r="R325" s="78"/>
      <c r="S325" s="78"/>
      <c r="T325" s="78"/>
      <c r="U325" s="78"/>
      <c r="V325" s="78"/>
    </row>
    <row r="326" ht="15.75" customHeight="1">
      <c r="P326" s="78"/>
      <c r="Q326" s="78"/>
      <c r="R326" s="78"/>
      <c r="S326" s="78"/>
      <c r="T326" s="78"/>
      <c r="U326" s="78"/>
      <c r="V326" s="78"/>
    </row>
    <row r="327" ht="15.75" customHeight="1">
      <c r="P327" s="78"/>
      <c r="Q327" s="78"/>
      <c r="R327" s="78"/>
      <c r="S327" s="78"/>
      <c r="T327" s="78"/>
      <c r="U327" s="78"/>
      <c r="V327" s="78"/>
    </row>
    <row r="328" ht="15.75" customHeight="1">
      <c r="P328" s="78"/>
      <c r="Q328" s="78"/>
      <c r="R328" s="78"/>
      <c r="S328" s="78"/>
      <c r="T328" s="78"/>
      <c r="U328" s="78"/>
      <c r="V328" s="78"/>
    </row>
    <row r="329" ht="15.75" customHeight="1">
      <c r="P329" s="78"/>
      <c r="Q329" s="78"/>
      <c r="R329" s="78"/>
      <c r="S329" s="78"/>
      <c r="T329" s="78"/>
      <c r="U329" s="78"/>
      <c r="V329" s="78"/>
    </row>
    <row r="330" ht="15.75" customHeight="1">
      <c r="P330" s="78"/>
      <c r="Q330" s="78"/>
      <c r="R330" s="78"/>
      <c r="S330" s="78"/>
      <c r="T330" s="78"/>
      <c r="U330" s="78"/>
      <c r="V330" s="78"/>
    </row>
    <row r="331" ht="15.75" customHeight="1">
      <c r="P331" s="78"/>
      <c r="Q331" s="78"/>
      <c r="R331" s="78"/>
      <c r="S331" s="78"/>
      <c r="T331" s="78"/>
      <c r="U331" s="78"/>
      <c r="V331" s="78"/>
    </row>
    <row r="332" ht="15.75" customHeight="1">
      <c r="P332" s="78"/>
      <c r="Q332" s="78"/>
      <c r="R332" s="78"/>
      <c r="S332" s="78"/>
      <c r="T332" s="78"/>
      <c r="U332" s="78"/>
      <c r="V332" s="78"/>
    </row>
    <row r="333" ht="15.75" customHeight="1">
      <c r="P333" s="78"/>
      <c r="Q333" s="78"/>
      <c r="R333" s="78"/>
      <c r="S333" s="78"/>
      <c r="T333" s="78"/>
      <c r="U333" s="78"/>
      <c r="V333" s="78"/>
    </row>
    <row r="334" ht="15.75" customHeight="1">
      <c r="P334" s="78"/>
      <c r="Q334" s="78"/>
      <c r="R334" s="78"/>
      <c r="S334" s="78"/>
      <c r="T334" s="78"/>
      <c r="U334" s="78"/>
      <c r="V334" s="78"/>
    </row>
    <row r="335" ht="15.75" customHeight="1">
      <c r="P335" s="78"/>
      <c r="Q335" s="78"/>
      <c r="R335" s="78"/>
      <c r="S335" s="78"/>
      <c r="T335" s="78"/>
      <c r="U335" s="78"/>
      <c r="V335" s="78"/>
    </row>
    <row r="336" ht="15.75" customHeight="1">
      <c r="P336" s="78"/>
      <c r="Q336" s="78"/>
      <c r="R336" s="78"/>
      <c r="S336" s="78"/>
      <c r="T336" s="78"/>
      <c r="U336" s="78"/>
      <c r="V336" s="78"/>
    </row>
    <row r="337" ht="15.75" customHeight="1">
      <c r="P337" s="78"/>
      <c r="Q337" s="78"/>
      <c r="R337" s="78"/>
      <c r="S337" s="78"/>
      <c r="T337" s="78"/>
      <c r="U337" s="78"/>
      <c r="V337" s="78"/>
    </row>
    <row r="338" ht="15.75" customHeight="1">
      <c r="P338" s="78"/>
      <c r="Q338" s="78"/>
      <c r="R338" s="78"/>
      <c r="S338" s="78"/>
      <c r="T338" s="78"/>
      <c r="U338" s="78"/>
      <c r="V338" s="78"/>
    </row>
    <row r="339" ht="15.75" customHeight="1">
      <c r="P339" s="78"/>
      <c r="Q339" s="78"/>
      <c r="R339" s="78"/>
      <c r="S339" s="78"/>
      <c r="T339" s="78"/>
      <c r="U339" s="78"/>
      <c r="V339" s="78"/>
    </row>
    <row r="340" ht="15.75" customHeight="1">
      <c r="P340" s="78"/>
      <c r="Q340" s="78"/>
      <c r="R340" s="78"/>
      <c r="S340" s="78"/>
      <c r="T340" s="78"/>
      <c r="U340" s="78"/>
      <c r="V340" s="78"/>
    </row>
    <row r="341" ht="15.75" customHeight="1">
      <c r="P341" s="78"/>
      <c r="Q341" s="78"/>
      <c r="R341" s="78"/>
      <c r="S341" s="78"/>
      <c r="T341" s="78"/>
      <c r="U341" s="78"/>
      <c r="V341" s="78"/>
    </row>
    <row r="342" ht="15.75" customHeight="1">
      <c r="P342" s="78"/>
      <c r="Q342" s="78"/>
      <c r="R342" s="78"/>
      <c r="S342" s="78"/>
      <c r="T342" s="78"/>
      <c r="U342" s="78"/>
      <c r="V342" s="78"/>
    </row>
    <row r="343" ht="15.75" customHeight="1">
      <c r="P343" s="78"/>
      <c r="Q343" s="78"/>
      <c r="R343" s="78"/>
      <c r="S343" s="78"/>
      <c r="T343" s="78"/>
      <c r="U343" s="78"/>
      <c r="V343" s="78"/>
    </row>
    <row r="344" ht="15.75" customHeight="1">
      <c r="P344" s="78"/>
      <c r="Q344" s="78"/>
      <c r="R344" s="78"/>
      <c r="S344" s="78"/>
      <c r="T344" s="78"/>
      <c r="U344" s="78"/>
      <c r="V344" s="78"/>
    </row>
    <row r="345" ht="15.75" customHeight="1">
      <c r="P345" s="78"/>
      <c r="Q345" s="78"/>
      <c r="R345" s="78"/>
      <c r="S345" s="78"/>
      <c r="T345" s="78"/>
      <c r="U345" s="78"/>
      <c r="V345" s="78"/>
    </row>
    <row r="346" ht="15.75" customHeight="1">
      <c r="P346" s="78"/>
      <c r="Q346" s="78"/>
      <c r="R346" s="78"/>
      <c r="S346" s="78"/>
      <c r="T346" s="78"/>
      <c r="U346" s="78"/>
      <c r="V346" s="78"/>
    </row>
    <row r="347" ht="15.75" customHeight="1">
      <c r="P347" s="78"/>
      <c r="Q347" s="78"/>
      <c r="R347" s="78"/>
      <c r="S347" s="78"/>
      <c r="T347" s="78"/>
      <c r="U347" s="78"/>
      <c r="V347" s="78"/>
    </row>
    <row r="348" ht="15.75" customHeight="1">
      <c r="P348" s="78"/>
      <c r="Q348" s="78"/>
      <c r="R348" s="78"/>
      <c r="S348" s="78"/>
      <c r="T348" s="78"/>
      <c r="U348" s="78"/>
      <c r="V348" s="78"/>
    </row>
    <row r="349" ht="15.75" customHeight="1">
      <c r="P349" s="78"/>
      <c r="Q349" s="78"/>
      <c r="R349" s="78"/>
      <c r="S349" s="78"/>
      <c r="T349" s="78"/>
      <c r="U349" s="78"/>
      <c r="V349" s="78"/>
    </row>
    <row r="350" ht="15.75" customHeight="1">
      <c r="P350" s="78"/>
      <c r="Q350" s="78"/>
      <c r="R350" s="78"/>
      <c r="S350" s="78"/>
      <c r="T350" s="78"/>
      <c r="U350" s="78"/>
      <c r="V350" s="78"/>
    </row>
    <row r="351" ht="15.75" customHeight="1">
      <c r="P351" s="78"/>
      <c r="Q351" s="78"/>
      <c r="R351" s="78"/>
      <c r="S351" s="78"/>
      <c r="T351" s="78"/>
      <c r="U351" s="78"/>
      <c r="V351" s="78"/>
    </row>
    <row r="352" ht="15.75" customHeight="1">
      <c r="P352" s="78"/>
      <c r="Q352" s="78"/>
      <c r="R352" s="78"/>
      <c r="S352" s="78"/>
      <c r="T352" s="78"/>
      <c r="U352" s="78"/>
      <c r="V352" s="78"/>
    </row>
    <row r="353" ht="15.75" customHeight="1">
      <c r="P353" s="78"/>
      <c r="Q353" s="78"/>
      <c r="R353" s="78"/>
      <c r="S353" s="78"/>
      <c r="T353" s="78"/>
      <c r="U353" s="78"/>
      <c r="V353" s="78"/>
    </row>
    <row r="354" ht="15.75" customHeight="1">
      <c r="P354" s="78"/>
      <c r="Q354" s="78"/>
      <c r="R354" s="78"/>
      <c r="S354" s="78"/>
      <c r="T354" s="78"/>
      <c r="U354" s="78"/>
      <c r="V354" s="78"/>
    </row>
    <row r="355" ht="15.75" customHeight="1">
      <c r="P355" s="78"/>
      <c r="Q355" s="78"/>
      <c r="R355" s="78"/>
      <c r="S355" s="78"/>
      <c r="T355" s="78"/>
      <c r="U355" s="78"/>
      <c r="V355" s="78"/>
    </row>
    <row r="356" ht="15.75" customHeight="1">
      <c r="P356" s="78"/>
      <c r="Q356" s="78"/>
      <c r="R356" s="78"/>
      <c r="S356" s="78"/>
      <c r="T356" s="78"/>
      <c r="U356" s="78"/>
      <c r="V356" s="78"/>
    </row>
    <row r="357" ht="15.75" customHeight="1">
      <c r="P357" s="78"/>
      <c r="Q357" s="78"/>
      <c r="R357" s="78"/>
      <c r="S357" s="78"/>
      <c r="T357" s="78"/>
      <c r="U357" s="78"/>
      <c r="V357" s="78"/>
    </row>
    <row r="358" ht="15.75" customHeight="1">
      <c r="P358" s="78"/>
      <c r="Q358" s="78"/>
      <c r="R358" s="78"/>
      <c r="S358" s="78"/>
      <c r="T358" s="78"/>
      <c r="U358" s="78"/>
      <c r="V358" s="78"/>
    </row>
    <row r="359" ht="15.75" customHeight="1">
      <c r="P359" s="78"/>
      <c r="Q359" s="78"/>
      <c r="R359" s="78"/>
      <c r="S359" s="78"/>
      <c r="T359" s="78"/>
      <c r="U359" s="78"/>
      <c r="V359" s="78"/>
    </row>
    <row r="360" ht="15.75" customHeight="1">
      <c r="P360" s="78"/>
      <c r="Q360" s="78"/>
      <c r="R360" s="78"/>
      <c r="S360" s="78"/>
      <c r="T360" s="78"/>
      <c r="U360" s="78"/>
      <c r="V360" s="78"/>
    </row>
    <row r="361" ht="15.75" customHeight="1">
      <c r="P361" s="78"/>
      <c r="Q361" s="78"/>
      <c r="R361" s="78"/>
      <c r="S361" s="78"/>
      <c r="T361" s="78"/>
      <c r="U361" s="78"/>
      <c r="V361" s="78"/>
    </row>
    <row r="362" ht="15.75" customHeight="1">
      <c r="P362" s="78"/>
      <c r="Q362" s="78"/>
      <c r="R362" s="78"/>
      <c r="S362" s="78"/>
      <c r="T362" s="78"/>
      <c r="U362" s="78"/>
      <c r="V362" s="78"/>
    </row>
    <row r="363" ht="15.75" customHeight="1">
      <c r="P363" s="78"/>
      <c r="Q363" s="78"/>
      <c r="R363" s="78"/>
      <c r="S363" s="78"/>
      <c r="T363" s="78"/>
      <c r="U363" s="78"/>
      <c r="V363" s="78"/>
    </row>
    <row r="364" ht="15.75" customHeight="1">
      <c r="P364" s="78"/>
      <c r="Q364" s="78"/>
      <c r="R364" s="78"/>
      <c r="S364" s="78"/>
      <c r="T364" s="78"/>
      <c r="U364" s="78"/>
      <c r="V364" s="78"/>
    </row>
    <row r="365" ht="15.75" customHeight="1">
      <c r="P365" s="78"/>
      <c r="Q365" s="78"/>
      <c r="R365" s="78"/>
      <c r="S365" s="78"/>
      <c r="T365" s="78"/>
      <c r="U365" s="78"/>
      <c r="V365" s="78"/>
    </row>
    <row r="366" ht="15.75" customHeight="1">
      <c r="P366" s="78"/>
      <c r="Q366" s="78"/>
      <c r="R366" s="78"/>
      <c r="S366" s="78"/>
      <c r="T366" s="78"/>
      <c r="U366" s="78"/>
      <c r="V366" s="78"/>
    </row>
    <row r="367" ht="15.75" customHeight="1">
      <c r="P367" s="78"/>
      <c r="Q367" s="78"/>
      <c r="R367" s="78"/>
      <c r="S367" s="78"/>
      <c r="T367" s="78"/>
      <c r="U367" s="78"/>
      <c r="V367" s="78"/>
    </row>
    <row r="368" ht="15.75" customHeight="1">
      <c r="P368" s="78"/>
      <c r="Q368" s="78"/>
      <c r="R368" s="78"/>
      <c r="S368" s="78"/>
      <c r="T368" s="78"/>
      <c r="U368" s="78"/>
      <c r="V368" s="78"/>
    </row>
    <row r="369" ht="15.75" customHeight="1">
      <c r="P369" s="78"/>
      <c r="Q369" s="78"/>
      <c r="R369" s="78"/>
      <c r="S369" s="78"/>
      <c r="T369" s="78"/>
      <c r="U369" s="78"/>
      <c r="V369" s="78"/>
    </row>
    <row r="370" ht="15.75" customHeight="1">
      <c r="P370" s="78"/>
      <c r="Q370" s="78"/>
      <c r="R370" s="78"/>
      <c r="S370" s="78"/>
      <c r="T370" s="78"/>
      <c r="U370" s="78"/>
      <c r="V370" s="78"/>
    </row>
    <row r="371" ht="15.75" customHeight="1">
      <c r="P371" s="78"/>
      <c r="Q371" s="78"/>
      <c r="R371" s="78"/>
      <c r="S371" s="78"/>
      <c r="T371" s="78"/>
      <c r="U371" s="78"/>
      <c r="V371" s="78"/>
    </row>
    <row r="372" ht="15.75" customHeight="1">
      <c r="P372" s="78"/>
      <c r="Q372" s="78"/>
      <c r="R372" s="78"/>
      <c r="S372" s="78"/>
      <c r="T372" s="78"/>
      <c r="U372" s="78"/>
      <c r="V372" s="78"/>
    </row>
    <row r="373" ht="15.75" customHeight="1">
      <c r="P373" s="78"/>
      <c r="Q373" s="78"/>
      <c r="R373" s="78"/>
      <c r="S373" s="78"/>
      <c r="T373" s="78"/>
      <c r="U373" s="78"/>
      <c r="V373" s="78"/>
    </row>
    <row r="374" ht="15.75" customHeight="1">
      <c r="P374" s="78"/>
      <c r="Q374" s="78"/>
      <c r="R374" s="78"/>
      <c r="S374" s="78"/>
      <c r="T374" s="78"/>
      <c r="U374" s="78"/>
      <c r="V374" s="78"/>
    </row>
    <row r="375" ht="15.75" customHeight="1">
      <c r="P375" s="78"/>
      <c r="Q375" s="78"/>
      <c r="R375" s="78"/>
      <c r="S375" s="78"/>
      <c r="T375" s="78"/>
      <c r="U375" s="78"/>
      <c r="V375" s="78"/>
    </row>
    <row r="376" ht="15.75" customHeight="1">
      <c r="P376" s="78"/>
      <c r="Q376" s="78"/>
      <c r="R376" s="78"/>
      <c r="S376" s="78"/>
      <c r="T376" s="78"/>
      <c r="U376" s="78"/>
      <c r="V376" s="78"/>
    </row>
    <row r="377" ht="15.75" customHeight="1">
      <c r="P377" s="78"/>
      <c r="Q377" s="78"/>
      <c r="R377" s="78"/>
      <c r="S377" s="78"/>
      <c r="T377" s="78"/>
      <c r="U377" s="78"/>
      <c r="V377" s="78"/>
    </row>
    <row r="378" ht="15.75" customHeight="1">
      <c r="P378" s="78"/>
      <c r="Q378" s="78"/>
      <c r="R378" s="78"/>
      <c r="S378" s="78"/>
      <c r="T378" s="78"/>
      <c r="U378" s="78"/>
      <c r="V378" s="78"/>
    </row>
    <row r="379" ht="15.75" customHeight="1">
      <c r="P379" s="78"/>
      <c r="Q379" s="78"/>
      <c r="R379" s="78"/>
      <c r="S379" s="78"/>
      <c r="T379" s="78"/>
      <c r="U379" s="78"/>
      <c r="V379" s="78"/>
    </row>
    <row r="380" ht="15.75" customHeight="1">
      <c r="P380" s="78"/>
      <c r="Q380" s="78"/>
      <c r="R380" s="78"/>
      <c r="S380" s="78"/>
      <c r="T380" s="78"/>
      <c r="U380" s="78"/>
      <c r="V380" s="78"/>
    </row>
    <row r="381" ht="15.75" customHeight="1">
      <c r="P381" s="78"/>
      <c r="Q381" s="78"/>
      <c r="R381" s="78"/>
      <c r="S381" s="78"/>
      <c r="T381" s="78"/>
      <c r="U381" s="78"/>
      <c r="V381" s="78"/>
    </row>
    <row r="382" ht="15.75" customHeight="1">
      <c r="P382" s="78"/>
      <c r="Q382" s="78"/>
      <c r="R382" s="78"/>
      <c r="S382" s="78"/>
      <c r="T382" s="78"/>
      <c r="U382" s="78"/>
      <c r="V382" s="78"/>
    </row>
    <row r="383" ht="15.75" customHeight="1">
      <c r="P383" s="78"/>
      <c r="Q383" s="78"/>
      <c r="R383" s="78"/>
      <c r="S383" s="78"/>
      <c r="T383" s="78"/>
      <c r="U383" s="78"/>
      <c r="V383" s="78"/>
    </row>
    <row r="384" ht="15.75" customHeight="1">
      <c r="P384" s="78"/>
      <c r="Q384" s="78"/>
      <c r="R384" s="78"/>
      <c r="S384" s="78"/>
      <c r="T384" s="78"/>
      <c r="U384" s="78"/>
      <c r="V384" s="78"/>
    </row>
    <row r="385" ht="15.75" customHeight="1">
      <c r="P385" s="78"/>
      <c r="Q385" s="78"/>
      <c r="R385" s="78"/>
      <c r="S385" s="78"/>
      <c r="T385" s="78"/>
      <c r="U385" s="78"/>
      <c r="V385" s="78"/>
    </row>
    <row r="386" ht="15.75" customHeight="1">
      <c r="P386" s="78"/>
      <c r="Q386" s="78"/>
      <c r="R386" s="78"/>
      <c r="S386" s="78"/>
      <c r="T386" s="78"/>
      <c r="U386" s="78"/>
      <c r="V386" s="78"/>
    </row>
    <row r="387" ht="15.75" customHeight="1">
      <c r="P387" s="78"/>
      <c r="Q387" s="78"/>
      <c r="R387" s="78"/>
      <c r="S387" s="78"/>
      <c r="T387" s="78"/>
      <c r="U387" s="78"/>
      <c r="V387" s="78"/>
    </row>
    <row r="388" ht="15.75" customHeight="1">
      <c r="P388" s="78"/>
      <c r="Q388" s="78"/>
      <c r="R388" s="78"/>
      <c r="S388" s="78"/>
      <c r="T388" s="78"/>
      <c r="U388" s="78"/>
      <c r="V388" s="78"/>
    </row>
    <row r="389" ht="15.75" customHeight="1">
      <c r="P389" s="78"/>
      <c r="Q389" s="78"/>
      <c r="R389" s="78"/>
      <c r="S389" s="78"/>
      <c r="T389" s="78"/>
      <c r="U389" s="78"/>
      <c r="V389" s="78"/>
    </row>
    <row r="390" ht="15.75" customHeight="1">
      <c r="P390" s="78"/>
      <c r="Q390" s="78"/>
      <c r="R390" s="78"/>
      <c r="S390" s="78"/>
      <c r="T390" s="78"/>
      <c r="U390" s="78"/>
      <c r="V390" s="78"/>
    </row>
    <row r="391" ht="15.75" customHeight="1">
      <c r="P391" s="78"/>
      <c r="Q391" s="78"/>
      <c r="R391" s="78"/>
      <c r="S391" s="78"/>
      <c r="T391" s="78"/>
      <c r="U391" s="78"/>
      <c r="V391" s="78"/>
    </row>
    <row r="392" ht="15.75" customHeight="1">
      <c r="P392" s="78"/>
      <c r="Q392" s="78"/>
      <c r="R392" s="78"/>
      <c r="S392" s="78"/>
      <c r="T392" s="78"/>
      <c r="U392" s="78"/>
      <c r="V392" s="78"/>
    </row>
    <row r="393" ht="15.75" customHeight="1">
      <c r="P393" s="78"/>
      <c r="Q393" s="78"/>
      <c r="R393" s="78"/>
      <c r="S393" s="78"/>
      <c r="T393" s="78"/>
      <c r="U393" s="78"/>
      <c r="V393" s="78"/>
    </row>
    <row r="394" ht="15.75" customHeight="1">
      <c r="P394" s="78"/>
      <c r="Q394" s="78"/>
      <c r="R394" s="78"/>
      <c r="S394" s="78"/>
      <c r="T394" s="78"/>
      <c r="U394" s="78"/>
      <c r="V394" s="78"/>
    </row>
    <row r="395" ht="15.75" customHeight="1">
      <c r="P395" s="78"/>
      <c r="Q395" s="78"/>
      <c r="R395" s="78"/>
      <c r="S395" s="78"/>
      <c r="T395" s="78"/>
      <c r="U395" s="78"/>
      <c r="V395" s="78"/>
    </row>
    <row r="396" ht="15.75" customHeight="1">
      <c r="P396" s="78"/>
      <c r="Q396" s="78"/>
      <c r="R396" s="78"/>
      <c r="S396" s="78"/>
      <c r="T396" s="78"/>
      <c r="U396" s="78"/>
      <c r="V396" s="78"/>
    </row>
    <row r="397" ht="15.75" customHeight="1">
      <c r="P397" s="78"/>
      <c r="Q397" s="78"/>
      <c r="R397" s="78"/>
      <c r="S397" s="78"/>
      <c r="T397" s="78"/>
      <c r="U397" s="78"/>
      <c r="V397" s="78"/>
    </row>
    <row r="398" ht="15.75" customHeight="1">
      <c r="P398" s="78"/>
      <c r="Q398" s="78"/>
      <c r="R398" s="78"/>
      <c r="S398" s="78"/>
      <c r="T398" s="78"/>
      <c r="U398" s="78"/>
      <c r="V398" s="78"/>
    </row>
    <row r="399" ht="15.75" customHeight="1">
      <c r="P399" s="78"/>
      <c r="Q399" s="78"/>
      <c r="R399" s="78"/>
      <c r="S399" s="78"/>
      <c r="T399" s="78"/>
      <c r="U399" s="78"/>
      <c r="V399" s="78"/>
    </row>
    <row r="400" ht="15.75" customHeight="1">
      <c r="P400" s="78"/>
      <c r="Q400" s="78"/>
      <c r="R400" s="78"/>
      <c r="S400" s="78"/>
      <c r="T400" s="78"/>
      <c r="U400" s="78"/>
      <c r="V400" s="78"/>
    </row>
    <row r="401" ht="15.75" customHeight="1">
      <c r="P401" s="78"/>
      <c r="Q401" s="78"/>
      <c r="R401" s="78"/>
      <c r="S401" s="78"/>
      <c r="T401" s="78"/>
      <c r="U401" s="78"/>
      <c r="V401" s="78"/>
    </row>
    <row r="402" ht="15.75" customHeight="1">
      <c r="P402" s="78"/>
      <c r="Q402" s="78"/>
      <c r="R402" s="78"/>
      <c r="S402" s="78"/>
      <c r="T402" s="78"/>
      <c r="U402" s="78"/>
      <c r="V402" s="78"/>
    </row>
    <row r="403" ht="15.75" customHeight="1">
      <c r="P403" s="78"/>
      <c r="Q403" s="78"/>
      <c r="R403" s="78"/>
      <c r="S403" s="78"/>
      <c r="T403" s="78"/>
      <c r="U403" s="78"/>
      <c r="V403" s="78"/>
    </row>
    <row r="404" ht="15.75" customHeight="1">
      <c r="P404" s="78"/>
      <c r="Q404" s="78"/>
      <c r="R404" s="78"/>
      <c r="S404" s="78"/>
      <c r="T404" s="78"/>
      <c r="U404" s="78"/>
      <c r="V404" s="78"/>
    </row>
    <row r="405" ht="15.75" customHeight="1">
      <c r="P405" s="78"/>
      <c r="Q405" s="78"/>
      <c r="R405" s="78"/>
      <c r="S405" s="78"/>
      <c r="T405" s="78"/>
      <c r="U405" s="78"/>
      <c r="V405" s="78"/>
    </row>
    <row r="406" ht="15.75" customHeight="1">
      <c r="P406" s="78"/>
      <c r="Q406" s="78"/>
      <c r="R406" s="78"/>
      <c r="S406" s="78"/>
      <c r="T406" s="78"/>
      <c r="U406" s="78"/>
      <c r="V406" s="78"/>
    </row>
    <row r="407" ht="15.75" customHeight="1">
      <c r="P407" s="78"/>
      <c r="Q407" s="78"/>
      <c r="R407" s="78"/>
      <c r="S407" s="78"/>
      <c r="T407" s="78"/>
      <c r="U407" s="78"/>
      <c r="V407" s="78"/>
    </row>
    <row r="408" ht="15.75" customHeight="1">
      <c r="P408" s="78"/>
      <c r="Q408" s="78"/>
      <c r="R408" s="78"/>
      <c r="S408" s="78"/>
      <c r="T408" s="78"/>
      <c r="U408" s="78"/>
      <c r="V408" s="78"/>
    </row>
    <row r="409" ht="15.75" customHeight="1">
      <c r="P409" s="78"/>
      <c r="Q409" s="78"/>
      <c r="R409" s="78"/>
      <c r="S409" s="78"/>
      <c r="T409" s="78"/>
      <c r="U409" s="78"/>
      <c r="V409" s="78"/>
    </row>
    <row r="410" ht="15.75" customHeight="1">
      <c r="P410" s="78"/>
      <c r="Q410" s="78"/>
      <c r="R410" s="78"/>
      <c r="S410" s="78"/>
      <c r="T410" s="78"/>
      <c r="U410" s="78"/>
      <c r="V410" s="78"/>
    </row>
    <row r="411" ht="15.75" customHeight="1">
      <c r="P411" s="78"/>
      <c r="Q411" s="78"/>
      <c r="R411" s="78"/>
      <c r="S411" s="78"/>
      <c r="T411" s="78"/>
      <c r="U411" s="78"/>
      <c r="V411" s="78"/>
    </row>
    <row r="412" ht="15.75" customHeight="1">
      <c r="P412" s="78"/>
      <c r="Q412" s="78"/>
      <c r="R412" s="78"/>
      <c r="S412" s="78"/>
      <c r="T412" s="78"/>
      <c r="U412" s="78"/>
      <c r="V412" s="78"/>
    </row>
    <row r="413" ht="15.75" customHeight="1">
      <c r="P413" s="78"/>
      <c r="Q413" s="78"/>
      <c r="R413" s="78"/>
      <c r="S413" s="78"/>
      <c r="T413" s="78"/>
      <c r="U413" s="78"/>
      <c r="V413" s="78"/>
    </row>
    <row r="414" ht="15.75" customHeight="1">
      <c r="P414" s="78"/>
      <c r="Q414" s="78"/>
      <c r="R414" s="78"/>
      <c r="S414" s="78"/>
      <c r="T414" s="78"/>
      <c r="U414" s="78"/>
      <c r="V414" s="78"/>
    </row>
    <row r="415" ht="15.75" customHeight="1">
      <c r="P415" s="78"/>
      <c r="Q415" s="78"/>
      <c r="R415" s="78"/>
      <c r="S415" s="78"/>
      <c r="T415" s="78"/>
      <c r="U415" s="78"/>
      <c r="V415" s="78"/>
    </row>
    <row r="416" ht="15.75" customHeight="1">
      <c r="P416" s="78"/>
      <c r="Q416" s="78"/>
      <c r="R416" s="78"/>
      <c r="S416" s="78"/>
      <c r="T416" s="78"/>
      <c r="U416" s="78"/>
      <c r="V416" s="78"/>
    </row>
    <row r="417" ht="15.75" customHeight="1">
      <c r="P417" s="78"/>
      <c r="Q417" s="78"/>
      <c r="R417" s="78"/>
      <c r="S417" s="78"/>
      <c r="T417" s="78"/>
      <c r="U417" s="78"/>
      <c r="V417" s="78"/>
    </row>
    <row r="418" ht="15.75" customHeight="1">
      <c r="P418" s="78"/>
      <c r="Q418" s="78"/>
      <c r="R418" s="78"/>
      <c r="S418" s="78"/>
      <c r="T418" s="78"/>
      <c r="U418" s="78"/>
      <c r="V418" s="78"/>
    </row>
    <row r="419" ht="15.75" customHeight="1">
      <c r="P419" s="78"/>
      <c r="Q419" s="78"/>
      <c r="R419" s="78"/>
      <c r="S419" s="78"/>
      <c r="T419" s="78"/>
      <c r="U419" s="78"/>
      <c r="V419" s="78"/>
    </row>
    <row r="420" ht="15.75" customHeight="1">
      <c r="P420" s="78"/>
      <c r="Q420" s="78"/>
      <c r="R420" s="78"/>
      <c r="S420" s="78"/>
      <c r="T420" s="78"/>
      <c r="U420" s="78"/>
      <c r="V420" s="78"/>
    </row>
    <row r="421" ht="15.75" customHeight="1">
      <c r="P421" s="78"/>
      <c r="Q421" s="78"/>
      <c r="R421" s="78"/>
      <c r="S421" s="78"/>
      <c r="T421" s="78"/>
      <c r="U421" s="78"/>
      <c r="V421" s="78"/>
    </row>
    <row r="422" ht="15.75" customHeight="1">
      <c r="P422" s="78"/>
      <c r="Q422" s="78"/>
      <c r="R422" s="78"/>
      <c r="S422" s="78"/>
      <c r="T422" s="78"/>
      <c r="U422" s="78"/>
      <c r="V422" s="78"/>
    </row>
    <row r="423" ht="15.75" customHeight="1">
      <c r="P423" s="78"/>
      <c r="Q423" s="78"/>
      <c r="R423" s="78"/>
      <c r="S423" s="78"/>
      <c r="T423" s="78"/>
      <c r="U423" s="78"/>
      <c r="V423" s="78"/>
    </row>
    <row r="424" ht="15.75" customHeight="1">
      <c r="P424" s="78"/>
      <c r="Q424" s="78"/>
      <c r="R424" s="78"/>
      <c r="S424" s="78"/>
      <c r="T424" s="78"/>
      <c r="U424" s="78"/>
      <c r="V424" s="78"/>
    </row>
    <row r="425" ht="15.75" customHeight="1">
      <c r="P425" s="78"/>
      <c r="Q425" s="78"/>
      <c r="R425" s="78"/>
      <c r="S425" s="78"/>
      <c r="T425" s="78"/>
      <c r="U425" s="78"/>
      <c r="V425" s="78"/>
    </row>
    <row r="426" ht="15.75" customHeight="1">
      <c r="P426" s="78"/>
      <c r="Q426" s="78"/>
      <c r="R426" s="78"/>
      <c r="S426" s="78"/>
      <c r="T426" s="78"/>
      <c r="U426" s="78"/>
      <c r="V426" s="78"/>
    </row>
    <row r="427" ht="15.75" customHeight="1">
      <c r="P427" s="78"/>
      <c r="Q427" s="78"/>
      <c r="R427" s="78"/>
      <c r="S427" s="78"/>
      <c r="T427" s="78"/>
      <c r="U427" s="78"/>
      <c r="V427" s="78"/>
    </row>
    <row r="428" ht="15.75" customHeight="1">
      <c r="P428" s="78"/>
      <c r="Q428" s="78"/>
      <c r="R428" s="78"/>
      <c r="S428" s="78"/>
      <c r="T428" s="78"/>
      <c r="U428" s="78"/>
      <c r="V428" s="78"/>
    </row>
    <row r="429" ht="15.75" customHeight="1">
      <c r="P429" s="78"/>
      <c r="Q429" s="78"/>
      <c r="R429" s="78"/>
      <c r="S429" s="78"/>
      <c r="T429" s="78"/>
      <c r="U429" s="78"/>
      <c r="V429" s="78"/>
    </row>
    <row r="430" ht="15.75" customHeight="1">
      <c r="P430" s="78"/>
      <c r="Q430" s="78"/>
      <c r="R430" s="78"/>
      <c r="S430" s="78"/>
      <c r="T430" s="78"/>
      <c r="U430" s="78"/>
      <c r="V430" s="78"/>
    </row>
    <row r="431" ht="15.75" customHeight="1">
      <c r="P431" s="78"/>
      <c r="Q431" s="78"/>
      <c r="R431" s="78"/>
      <c r="S431" s="78"/>
      <c r="T431" s="78"/>
      <c r="U431" s="78"/>
      <c r="V431" s="78"/>
    </row>
    <row r="432" ht="15.75" customHeight="1">
      <c r="P432" s="78"/>
      <c r="Q432" s="78"/>
      <c r="R432" s="78"/>
      <c r="S432" s="78"/>
      <c r="T432" s="78"/>
      <c r="U432" s="78"/>
      <c r="V432" s="78"/>
    </row>
    <row r="433" ht="15.75" customHeight="1">
      <c r="P433" s="78"/>
      <c r="Q433" s="78"/>
      <c r="R433" s="78"/>
      <c r="S433" s="78"/>
      <c r="T433" s="78"/>
      <c r="U433" s="78"/>
      <c r="V433" s="78"/>
    </row>
    <row r="434" ht="15.75" customHeight="1">
      <c r="P434" s="78"/>
      <c r="Q434" s="78"/>
      <c r="R434" s="78"/>
      <c r="S434" s="78"/>
      <c r="T434" s="78"/>
      <c r="U434" s="78"/>
      <c r="V434" s="78"/>
    </row>
    <row r="435" ht="15.75" customHeight="1">
      <c r="P435" s="78"/>
      <c r="Q435" s="78"/>
      <c r="R435" s="78"/>
      <c r="S435" s="78"/>
      <c r="T435" s="78"/>
      <c r="U435" s="78"/>
      <c r="V435" s="78"/>
    </row>
    <row r="436" ht="15.75" customHeight="1">
      <c r="P436" s="78"/>
      <c r="Q436" s="78"/>
      <c r="R436" s="78"/>
      <c r="S436" s="78"/>
      <c r="T436" s="78"/>
      <c r="U436" s="78"/>
      <c r="V436" s="78"/>
    </row>
    <row r="437" ht="15.75" customHeight="1">
      <c r="P437" s="78"/>
      <c r="Q437" s="78"/>
      <c r="R437" s="78"/>
      <c r="S437" s="78"/>
      <c r="T437" s="78"/>
      <c r="U437" s="78"/>
      <c r="V437" s="78"/>
    </row>
    <row r="438" ht="15.75" customHeight="1">
      <c r="P438" s="78"/>
      <c r="Q438" s="78"/>
      <c r="R438" s="78"/>
      <c r="S438" s="78"/>
      <c r="T438" s="78"/>
      <c r="U438" s="78"/>
      <c r="V438" s="78"/>
    </row>
    <row r="439" ht="15.75" customHeight="1">
      <c r="P439" s="78"/>
      <c r="Q439" s="78"/>
      <c r="R439" s="78"/>
      <c r="S439" s="78"/>
      <c r="T439" s="78"/>
      <c r="U439" s="78"/>
      <c r="V439" s="78"/>
    </row>
    <row r="440" ht="15.75" customHeight="1">
      <c r="P440" s="78"/>
      <c r="Q440" s="78"/>
      <c r="R440" s="78"/>
      <c r="S440" s="78"/>
      <c r="T440" s="78"/>
      <c r="U440" s="78"/>
      <c r="V440" s="78"/>
    </row>
    <row r="441" ht="15.75" customHeight="1">
      <c r="P441" s="78"/>
      <c r="Q441" s="78"/>
      <c r="R441" s="78"/>
      <c r="S441" s="78"/>
      <c r="T441" s="78"/>
      <c r="U441" s="78"/>
      <c r="V441" s="78"/>
    </row>
    <row r="442" ht="15.75" customHeight="1">
      <c r="P442" s="78"/>
      <c r="Q442" s="78"/>
      <c r="R442" s="78"/>
      <c r="S442" s="78"/>
      <c r="T442" s="78"/>
      <c r="U442" s="78"/>
      <c r="V442" s="78"/>
    </row>
    <row r="443" ht="15.75" customHeight="1">
      <c r="P443" s="78"/>
      <c r="Q443" s="78"/>
      <c r="R443" s="78"/>
      <c r="S443" s="78"/>
      <c r="T443" s="78"/>
      <c r="U443" s="78"/>
      <c r="V443" s="78"/>
    </row>
    <row r="444" ht="15.75" customHeight="1">
      <c r="P444" s="78"/>
      <c r="Q444" s="78"/>
      <c r="R444" s="78"/>
      <c r="S444" s="78"/>
      <c r="T444" s="78"/>
      <c r="U444" s="78"/>
      <c r="V444" s="78"/>
    </row>
    <row r="445" ht="15.75" customHeight="1">
      <c r="P445" s="78"/>
      <c r="Q445" s="78"/>
      <c r="R445" s="78"/>
      <c r="S445" s="78"/>
      <c r="T445" s="78"/>
      <c r="U445" s="78"/>
      <c r="V445" s="78"/>
    </row>
    <row r="446" ht="15.75" customHeight="1">
      <c r="P446" s="78"/>
      <c r="Q446" s="78"/>
      <c r="R446" s="78"/>
      <c r="S446" s="78"/>
      <c r="T446" s="78"/>
      <c r="U446" s="78"/>
      <c r="V446" s="78"/>
    </row>
    <row r="447" ht="15.75" customHeight="1">
      <c r="P447" s="78"/>
      <c r="Q447" s="78"/>
      <c r="R447" s="78"/>
      <c r="S447" s="78"/>
      <c r="T447" s="78"/>
      <c r="U447" s="78"/>
      <c r="V447" s="78"/>
    </row>
    <row r="448" ht="15.75" customHeight="1">
      <c r="P448" s="78"/>
      <c r="Q448" s="78"/>
      <c r="R448" s="78"/>
      <c r="S448" s="78"/>
      <c r="T448" s="78"/>
      <c r="U448" s="78"/>
      <c r="V448" s="78"/>
    </row>
    <row r="449" ht="15.75" customHeight="1">
      <c r="P449" s="78"/>
      <c r="Q449" s="78"/>
      <c r="R449" s="78"/>
      <c r="S449" s="78"/>
      <c r="T449" s="78"/>
      <c r="U449" s="78"/>
      <c r="V449" s="78"/>
    </row>
    <row r="450" ht="15.75" customHeight="1">
      <c r="P450" s="78"/>
      <c r="Q450" s="78"/>
      <c r="R450" s="78"/>
      <c r="S450" s="78"/>
      <c r="T450" s="78"/>
      <c r="U450" s="78"/>
      <c r="V450" s="78"/>
    </row>
    <row r="451" ht="15.75" customHeight="1">
      <c r="P451" s="78"/>
      <c r="Q451" s="78"/>
      <c r="R451" s="78"/>
      <c r="S451" s="78"/>
      <c r="T451" s="78"/>
      <c r="U451" s="78"/>
      <c r="V451" s="78"/>
    </row>
    <row r="452" ht="15.75" customHeight="1">
      <c r="P452" s="78"/>
      <c r="Q452" s="78"/>
      <c r="R452" s="78"/>
      <c r="S452" s="78"/>
      <c r="T452" s="78"/>
      <c r="U452" s="78"/>
      <c r="V452" s="78"/>
    </row>
    <row r="453" ht="15.75" customHeight="1">
      <c r="P453" s="78"/>
      <c r="Q453" s="78"/>
      <c r="R453" s="78"/>
      <c r="S453" s="78"/>
      <c r="T453" s="78"/>
      <c r="U453" s="78"/>
      <c r="V453" s="78"/>
    </row>
    <row r="454" ht="15.75" customHeight="1">
      <c r="P454" s="78"/>
      <c r="Q454" s="78"/>
      <c r="R454" s="78"/>
      <c r="S454" s="78"/>
      <c r="T454" s="78"/>
      <c r="U454" s="78"/>
      <c r="V454" s="78"/>
    </row>
    <row r="455" ht="15.75" customHeight="1">
      <c r="P455" s="78"/>
      <c r="Q455" s="78"/>
      <c r="R455" s="78"/>
      <c r="S455" s="78"/>
      <c r="T455" s="78"/>
      <c r="U455" s="78"/>
      <c r="V455" s="78"/>
    </row>
    <row r="456" ht="15.75" customHeight="1">
      <c r="P456" s="78"/>
      <c r="Q456" s="78"/>
      <c r="R456" s="78"/>
      <c r="S456" s="78"/>
      <c r="T456" s="78"/>
      <c r="U456" s="78"/>
      <c r="V456" s="78"/>
    </row>
    <row r="457" ht="15.75" customHeight="1">
      <c r="P457" s="78"/>
      <c r="Q457" s="78"/>
      <c r="R457" s="78"/>
      <c r="S457" s="78"/>
      <c r="T457" s="78"/>
      <c r="U457" s="78"/>
      <c r="V457" s="78"/>
    </row>
    <row r="458" ht="15.75" customHeight="1">
      <c r="P458" s="78"/>
      <c r="Q458" s="78"/>
      <c r="R458" s="78"/>
      <c r="S458" s="78"/>
      <c r="T458" s="78"/>
      <c r="U458" s="78"/>
      <c r="V458" s="78"/>
    </row>
    <row r="459" ht="15.75" customHeight="1">
      <c r="P459" s="78"/>
      <c r="Q459" s="78"/>
      <c r="R459" s="78"/>
      <c r="S459" s="78"/>
      <c r="T459" s="78"/>
      <c r="U459" s="78"/>
      <c r="V459" s="78"/>
    </row>
    <row r="460" ht="15.75" customHeight="1">
      <c r="P460" s="78"/>
      <c r="Q460" s="78"/>
      <c r="R460" s="78"/>
      <c r="S460" s="78"/>
      <c r="T460" s="78"/>
      <c r="U460" s="78"/>
      <c r="V460" s="78"/>
    </row>
    <row r="461" ht="15.75" customHeight="1">
      <c r="P461" s="78"/>
      <c r="Q461" s="78"/>
      <c r="R461" s="78"/>
      <c r="S461" s="78"/>
      <c r="T461" s="78"/>
      <c r="U461" s="78"/>
      <c r="V461" s="78"/>
    </row>
    <row r="462" ht="15.75" customHeight="1">
      <c r="P462" s="78"/>
      <c r="Q462" s="78"/>
      <c r="R462" s="78"/>
      <c r="S462" s="78"/>
      <c r="T462" s="78"/>
      <c r="U462" s="78"/>
      <c r="V462" s="78"/>
    </row>
    <row r="463" ht="15.75" customHeight="1">
      <c r="P463" s="78"/>
      <c r="Q463" s="78"/>
      <c r="R463" s="78"/>
      <c r="S463" s="78"/>
      <c r="T463" s="78"/>
      <c r="U463" s="78"/>
      <c r="V463" s="78"/>
    </row>
    <row r="464" ht="15.75" customHeight="1">
      <c r="P464" s="78"/>
      <c r="Q464" s="78"/>
      <c r="R464" s="78"/>
      <c r="S464" s="78"/>
      <c r="T464" s="78"/>
      <c r="U464" s="78"/>
      <c r="V464" s="78"/>
    </row>
    <row r="465" ht="15.75" customHeight="1">
      <c r="P465" s="78"/>
      <c r="Q465" s="78"/>
      <c r="R465" s="78"/>
      <c r="S465" s="78"/>
      <c r="T465" s="78"/>
      <c r="U465" s="78"/>
      <c r="V465" s="78"/>
    </row>
    <row r="466" ht="15.75" customHeight="1">
      <c r="P466" s="78"/>
      <c r="Q466" s="78"/>
      <c r="R466" s="78"/>
      <c r="S466" s="78"/>
      <c r="T466" s="78"/>
      <c r="U466" s="78"/>
      <c r="V466" s="78"/>
    </row>
    <row r="467" ht="15.75" customHeight="1">
      <c r="P467" s="78"/>
      <c r="Q467" s="78"/>
      <c r="R467" s="78"/>
      <c r="S467" s="78"/>
      <c r="T467" s="78"/>
      <c r="U467" s="78"/>
      <c r="V467" s="78"/>
    </row>
    <row r="468" ht="15.75" customHeight="1">
      <c r="P468" s="78"/>
      <c r="Q468" s="78"/>
      <c r="R468" s="78"/>
      <c r="S468" s="78"/>
      <c r="T468" s="78"/>
      <c r="U468" s="78"/>
      <c r="V468" s="78"/>
    </row>
    <row r="469" ht="15.75" customHeight="1">
      <c r="P469" s="78"/>
      <c r="Q469" s="78"/>
      <c r="R469" s="78"/>
      <c r="S469" s="78"/>
      <c r="T469" s="78"/>
      <c r="U469" s="78"/>
      <c r="V469" s="78"/>
    </row>
    <row r="470" ht="15.75" customHeight="1">
      <c r="P470" s="78"/>
      <c r="Q470" s="78"/>
      <c r="R470" s="78"/>
      <c r="S470" s="78"/>
      <c r="T470" s="78"/>
      <c r="U470" s="78"/>
      <c r="V470" s="78"/>
    </row>
    <row r="471" ht="15.75" customHeight="1">
      <c r="P471" s="78"/>
      <c r="Q471" s="78"/>
      <c r="R471" s="78"/>
      <c r="S471" s="78"/>
      <c r="T471" s="78"/>
      <c r="U471" s="78"/>
      <c r="V471" s="78"/>
    </row>
    <row r="472" ht="15.75" customHeight="1">
      <c r="P472" s="78"/>
      <c r="Q472" s="78"/>
      <c r="R472" s="78"/>
      <c r="S472" s="78"/>
      <c r="T472" s="78"/>
      <c r="U472" s="78"/>
      <c r="V472" s="78"/>
    </row>
    <row r="473" ht="15.75" customHeight="1">
      <c r="P473" s="78"/>
      <c r="Q473" s="78"/>
      <c r="R473" s="78"/>
      <c r="S473" s="78"/>
      <c r="T473" s="78"/>
      <c r="U473" s="78"/>
      <c r="V473" s="78"/>
    </row>
    <row r="474" ht="15.75" customHeight="1">
      <c r="P474" s="78"/>
      <c r="Q474" s="78"/>
      <c r="R474" s="78"/>
      <c r="S474" s="78"/>
      <c r="T474" s="78"/>
      <c r="U474" s="78"/>
      <c r="V474" s="78"/>
    </row>
    <row r="475" ht="15.75" customHeight="1">
      <c r="P475" s="78"/>
      <c r="Q475" s="78"/>
      <c r="R475" s="78"/>
      <c r="S475" s="78"/>
      <c r="T475" s="78"/>
      <c r="U475" s="78"/>
      <c r="V475" s="78"/>
    </row>
    <row r="476" ht="15.75" customHeight="1">
      <c r="P476" s="78"/>
      <c r="Q476" s="78"/>
      <c r="R476" s="78"/>
      <c r="S476" s="78"/>
      <c r="T476" s="78"/>
      <c r="U476" s="78"/>
      <c r="V476" s="78"/>
    </row>
    <row r="477" ht="15.75" customHeight="1">
      <c r="P477" s="78"/>
      <c r="Q477" s="78"/>
      <c r="R477" s="78"/>
      <c r="S477" s="78"/>
      <c r="T477" s="78"/>
      <c r="U477" s="78"/>
      <c r="V477" s="78"/>
    </row>
    <row r="478" ht="15.75" customHeight="1">
      <c r="P478" s="78"/>
      <c r="Q478" s="78"/>
      <c r="R478" s="78"/>
      <c r="S478" s="78"/>
      <c r="T478" s="78"/>
      <c r="U478" s="78"/>
      <c r="V478" s="78"/>
    </row>
    <row r="479" ht="15.75" customHeight="1">
      <c r="P479" s="78"/>
      <c r="Q479" s="78"/>
      <c r="R479" s="78"/>
      <c r="S479" s="78"/>
      <c r="T479" s="78"/>
      <c r="U479" s="78"/>
      <c r="V479" s="78"/>
    </row>
    <row r="480" ht="15.75" customHeight="1">
      <c r="P480" s="78"/>
      <c r="Q480" s="78"/>
      <c r="R480" s="78"/>
      <c r="S480" s="78"/>
      <c r="T480" s="78"/>
      <c r="U480" s="78"/>
      <c r="V480" s="78"/>
    </row>
    <row r="481" ht="15.75" customHeight="1">
      <c r="P481" s="78"/>
      <c r="Q481" s="78"/>
      <c r="R481" s="78"/>
      <c r="S481" s="78"/>
      <c r="T481" s="78"/>
      <c r="U481" s="78"/>
      <c r="V481" s="78"/>
    </row>
    <row r="482" ht="15.75" customHeight="1">
      <c r="P482" s="78"/>
      <c r="Q482" s="78"/>
      <c r="R482" s="78"/>
      <c r="S482" s="78"/>
      <c r="T482" s="78"/>
      <c r="U482" s="78"/>
      <c r="V482" s="78"/>
    </row>
    <row r="483" ht="15.75" customHeight="1">
      <c r="P483" s="78"/>
      <c r="Q483" s="78"/>
      <c r="R483" s="78"/>
      <c r="S483" s="78"/>
      <c r="T483" s="78"/>
      <c r="U483" s="78"/>
      <c r="V483" s="78"/>
    </row>
    <row r="484" ht="15.75" customHeight="1">
      <c r="P484" s="78"/>
      <c r="Q484" s="78"/>
      <c r="R484" s="78"/>
      <c r="S484" s="78"/>
      <c r="T484" s="78"/>
      <c r="U484" s="78"/>
      <c r="V484" s="78"/>
    </row>
    <row r="485" ht="15.75" customHeight="1">
      <c r="P485" s="78"/>
      <c r="Q485" s="78"/>
      <c r="R485" s="78"/>
      <c r="S485" s="78"/>
      <c r="T485" s="78"/>
      <c r="U485" s="78"/>
      <c r="V485" s="78"/>
    </row>
    <row r="486" ht="15.75" customHeight="1">
      <c r="P486" s="78"/>
      <c r="Q486" s="78"/>
      <c r="R486" s="78"/>
      <c r="S486" s="78"/>
      <c r="T486" s="78"/>
      <c r="U486" s="78"/>
      <c r="V486" s="78"/>
    </row>
    <row r="487" ht="15.75" customHeight="1">
      <c r="P487" s="78"/>
      <c r="Q487" s="78"/>
      <c r="R487" s="78"/>
      <c r="S487" s="78"/>
      <c r="T487" s="78"/>
      <c r="U487" s="78"/>
      <c r="V487" s="78"/>
    </row>
    <row r="488" ht="15.75" customHeight="1">
      <c r="P488" s="78"/>
      <c r="Q488" s="78"/>
      <c r="R488" s="78"/>
      <c r="S488" s="78"/>
      <c r="T488" s="78"/>
      <c r="U488" s="78"/>
      <c r="V488" s="78"/>
    </row>
    <row r="489" ht="15.75" customHeight="1">
      <c r="P489" s="78"/>
      <c r="Q489" s="78"/>
      <c r="R489" s="78"/>
      <c r="S489" s="78"/>
      <c r="T489" s="78"/>
      <c r="U489" s="78"/>
      <c r="V489" s="78"/>
    </row>
    <row r="490" ht="15.75" customHeight="1">
      <c r="P490" s="78"/>
      <c r="Q490" s="78"/>
      <c r="R490" s="78"/>
      <c r="S490" s="78"/>
      <c r="T490" s="78"/>
      <c r="U490" s="78"/>
      <c r="V490" s="78"/>
    </row>
    <row r="491" ht="15.75" customHeight="1">
      <c r="P491" s="78"/>
      <c r="Q491" s="78"/>
      <c r="R491" s="78"/>
      <c r="S491" s="78"/>
      <c r="T491" s="78"/>
      <c r="U491" s="78"/>
      <c r="V491" s="78"/>
    </row>
    <row r="492" ht="15.75" customHeight="1">
      <c r="P492" s="78"/>
      <c r="Q492" s="78"/>
      <c r="R492" s="78"/>
      <c r="S492" s="78"/>
      <c r="T492" s="78"/>
      <c r="U492" s="78"/>
      <c r="V492" s="78"/>
    </row>
    <row r="493" ht="15.75" customHeight="1">
      <c r="P493" s="78"/>
      <c r="Q493" s="78"/>
      <c r="R493" s="78"/>
      <c r="S493" s="78"/>
      <c r="T493" s="78"/>
      <c r="U493" s="78"/>
      <c r="V493" s="78"/>
    </row>
    <row r="494" ht="15.75" customHeight="1">
      <c r="P494" s="78"/>
      <c r="Q494" s="78"/>
      <c r="R494" s="78"/>
      <c r="S494" s="78"/>
      <c r="T494" s="78"/>
      <c r="U494" s="78"/>
      <c r="V494" s="78"/>
    </row>
    <row r="495" ht="15.75" customHeight="1">
      <c r="P495" s="78"/>
      <c r="Q495" s="78"/>
      <c r="R495" s="78"/>
      <c r="S495" s="78"/>
      <c r="T495" s="78"/>
      <c r="U495" s="78"/>
      <c r="V495" s="78"/>
    </row>
    <row r="496" ht="15.75" customHeight="1">
      <c r="P496" s="78"/>
      <c r="Q496" s="78"/>
      <c r="R496" s="78"/>
      <c r="S496" s="78"/>
      <c r="T496" s="78"/>
      <c r="U496" s="78"/>
      <c r="V496" s="78"/>
    </row>
    <row r="497" ht="15.75" customHeight="1">
      <c r="P497" s="78"/>
      <c r="Q497" s="78"/>
      <c r="R497" s="78"/>
      <c r="S497" s="78"/>
      <c r="T497" s="78"/>
      <c r="U497" s="78"/>
      <c r="V497" s="78"/>
    </row>
    <row r="498" ht="15.75" customHeight="1">
      <c r="P498" s="78"/>
      <c r="Q498" s="78"/>
      <c r="R498" s="78"/>
      <c r="S498" s="78"/>
      <c r="T498" s="78"/>
      <c r="U498" s="78"/>
      <c r="V498" s="78"/>
    </row>
    <row r="499" ht="15.75" customHeight="1">
      <c r="P499" s="78"/>
      <c r="Q499" s="78"/>
      <c r="R499" s="78"/>
      <c r="S499" s="78"/>
      <c r="T499" s="78"/>
      <c r="U499" s="78"/>
      <c r="V499" s="78"/>
    </row>
    <row r="500" ht="15.75" customHeight="1">
      <c r="P500" s="78"/>
      <c r="Q500" s="78"/>
      <c r="R500" s="78"/>
      <c r="S500" s="78"/>
      <c r="T500" s="78"/>
      <c r="U500" s="78"/>
      <c r="V500" s="78"/>
    </row>
    <row r="501" ht="15.75" customHeight="1">
      <c r="P501" s="78"/>
      <c r="Q501" s="78"/>
      <c r="R501" s="78"/>
      <c r="S501" s="78"/>
      <c r="T501" s="78"/>
      <c r="U501" s="78"/>
      <c r="V501" s="78"/>
    </row>
    <row r="502" ht="15.75" customHeight="1">
      <c r="P502" s="78"/>
      <c r="Q502" s="78"/>
      <c r="R502" s="78"/>
      <c r="S502" s="78"/>
      <c r="T502" s="78"/>
      <c r="U502" s="78"/>
      <c r="V502" s="78"/>
    </row>
    <row r="503" ht="15.75" customHeight="1">
      <c r="P503" s="78"/>
      <c r="Q503" s="78"/>
      <c r="R503" s="78"/>
      <c r="S503" s="78"/>
      <c r="T503" s="78"/>
      <c r="U503" s="78"/>
      <c r="V503" s="78"/>
    </row>
    <row r="504" ht="15.75" customHeight="1">
      <c r="P504" s="78"/>
      <c r="Q504" s="78"/>
      <c r="R504" s="78"/>
      <c r="S504" s="78"/>
      <c r="T504" s="78"/>
      <c r="U504" s="78"/>
      <c r="V504" s="78"/>
    </row>
    <row r="505" ht="15.75" customHeight="1">
      <c r="P505" s="78"/>
      <c r="Q505" s="78"/>
      <c r="R505" s="78"/>
      <c r="S505" s="78"/>
      <c r="T505" s="78"/>
      <c r="U505" s="78"/>
      <c r="V505" s="78"/>
    </row>
    <row r="506" ht="15.75" customHeight="1">
      <c r="P506" s="78"/>
      <c r="Q506" s="78"/>
      <c r="R506" s="78"/>
      <c r="S506" s="78"/>
      <c r="T506" s="78"/>
      <c r="U506" s="78"/>
      <c r="V506" s="78"/>
    </row>
    <row r="507" ht="15.75" customHeight="1">
      <c r="P507" s="78"/>
      <c r="Q507" s="78"/>
      <c r="R507" s="78"/>
      <c r="S507" s="78"/>
      <c r="T507" s="78"/>
      <c r="U507" s="78"/>
      <c r="V507" s="78"/>
    </row>
    <row r="508" ht="15.75" customHeight="1">
      <c r="P508" s="78"/>
      <c r="Q508" s="78"/>
      <c r="R508" s="78"/>
      <c r="S508" s="78"/>
      <c r="T508" s="78"/>
      <c r="U508" s="78"/>
      <c r="V508" s="78"/>
    </row>
    <row r="509" ht="15.75" customHeight="1">
      <c r="P509" s="78"/>
      <c r="Q509" s="78"/>
      <c r="R509" s="78"/>
      <c r="S509" s="78"/>
      <c r="T509" s="78"/>
      <c r="U509" s="78"/>
      <c r="V509" s="78"/>
    </row>
    <row r="510" ht="15.75" customHeight="1">
      <c r="P510" s="78"/>
      <c r="Q510" s="78"/>
      <c r="R510" s="78"/>
      <c r="S510" s="78"/>
      <c r="T510" s="78"/>
      <c r="U510" s="78"/>
      <c r="V510" s="78"/>
    </row>
    <row r="511" ht="15.75" customHeight="1">
      <c r="P511" s="78"/>
      <c r="Q511" s="78"/>
      <c r="R511" s="78"/>
      <c r="S511" s="78"/>
      <c r="T511" s="78"/>
      <c r="U511" s="78"/>
      <c r="V511" s="78"/>
    </row>
    <row r="512" ht="15.75" customHeight="1">
      <c r="P512" s="78"/>
      <c r="Q512" s="78"/>
      <c r="R512" s="78"/>
      <c r="S512" s="78"/>
      <c r="T512" s="78"/>
      <c r="U512" s="78"/>
      <c r="V512" s="78"/>
    </row>
    <row r="513" ht="15.75" customHeight="1">
      <c r="P513" s="78"/>
      <c r="Q513" s="78"/>
      <c r="R513" s="78"/>
      <c r="S513" s="78"/>
      <c r="T513" s="78"/>
      <c r="U513" s="78"/>
      <c r="V513" s="78"/>
    </row>
    <row r="514" ht="15.75" customHeight="1">
      <c r="P514" s="78"/>
      <c r="Q514" s="78"/>
      <c r="R514" s="78"/>
      <c r="S514" s="78"/>
      <c r="T514" s="78"/>
      <c r="U514" s="78"/>
      <c r="V514" s="78"/>
    </row>
    <row r="515" ht="15.75" customHeight="1">
      <c r="P515" s="78"/>
      <c r="Q515" s="78"/>
      <c r="R515" s="78"/>
      <c r="S515" s="78"/>
      <c r="T515" s="78"/>
      <c r="U515" s="78"/>
      <c r="V515" s="78"/>
    </row>
    <row r="516" ht="15.75" customHeight="1">
      <c r="P516" s="78"/>
      <c r="Q516" s="78"/>
      <c r="R516" s="78"/>
      <c r="S516" s="78"/>
      <c r="T516" s="78"/>
      <c r="U516" s="78"/>
      <c r="V516" s="78"/>
    </row>
    <row r="517" ht="15.75" customHeight="1">
      <c r="P517" s="78"/>
      <c r="Q517" s="78"/>
      <c r="R517" s="78"/>
      <c r="S517" s="78"/>
      <c r="T517" s="78"/>
      <c r="U517" s="78"/>
      <c r="V517" s="78"/>
    </row>
    <row r="518" ht="15.75" customHeight="1">
      <c r="P518" s="78"/>
      <c r="Q518" s="78"/>
      <c r="R518" s="78"/>
      <c r="S518" s="78"/>
      <c r="T518" s="78"/>
      <c r="U518" s="78"/>
      <c r="V518" s="78"/>
    </row>
    <row r="519" ht="15.75" customHeight="1">
      <c r="P519" s="78"/>
      <c r="Q519" s="78"/>
      <c r="R519" s="78"/>
      <c r="S519" s="78"/>
      <c r="T519" s="78"/>
      <c r="U519" s="78"/>
      <c r="V519" s="78"/>
    </row>
    <row r="520" ht="15.75" customHeight="1">
      <c r="P520" s="78"/>
      <c r="Q520" s="78"/>
      <c r="R520" s="78"/>
      <c r="S520" s="78"/>
      <c r="T520" s="78"/>
      <c r="U520" s="78"/>
      <c r="V520" s="78"/>
    </row>
    <row r="521" ht="15.75" customHeight="1">
      <c r="P521" s="78"/>
      <c r="Q521" s="78"/>
      <c r="R521" s="78"/>
      <c r="S521" s="78"/>
      <c r="T521" s="78"/>
      <c r="U521" s="78"/>
      <c r="V521" s="78"/>
    </row>
    <row r="522" ht="15.75" customHeight="1">
      <c r="P522" s="78"/>
      <c r="Q522" s="78"/>
      <c r="R522" s="78"/>
      <c r="S522" s="78"/>
      <c r="T522" s="78"/>
      <c r="U522" s="78"/>
      <c r="V522" s="78"/>
    </row>
    <row r="523" ht="15.75" customHeight="1">
      <c r="P523" s="78"/>
      <c r="Q523" s="78"/>
      <c r="R523" s="78"/>
      <c r="S523" s="78"/>
      <c r="T523" s="78"/>
      <c r="U523" s="78"/>
      <c r="V523" s="78"/>
    </row>
    <row r="524" ht="15.75" customHeight="1">
      <c r="P524" s="78"/>
      <c r="Q524" s="78"/>
      <c r="R524" s="78"/>
      <c r="S524" s="78"/>
      <c r="T524" s="78"/>
      <c r="U524" s="78"/>
      <c r="V524" s="78"/>
    </row>
    <row r="525" ht="15.75" customHeight="1">
      <c r="P525" s="78"/>
      <c r="Q525" s="78"/>
      <c r="R525" s="78"/>
      <c r="S525" s="78"/>
      <c r="T525" s="78"/>
      <c r="U525" s="78"/>
      <c r="V525" s="78"/>
    </row>
    <row r="526" ht="15.75" customHeight="1">
      <c r="P526" s="78"/>
      <c r="Q526" s="78"/>
      <c r="R526" s="78"/>
      <c r="S526" s="78"/>
      <c r="T526" s="78"/>
      <c r="U526" s="78"/>
      <c r="V526" s="78"/>
    </row>
    <row r="527" ht="15.75" customHeight="1">
      <c r="P527" s="78"/>
      <c r="Q527" s="78"/>
      <c r="R527" s="78"/>
      <c r="S527" s="78"/>
      <c r="T527" s="78"/>
      <c r="U527" s="78"/>
      <c r="V527" s="78"/>
    </row>
    <row r="528" ht="15.75" customHeight="1">
      <c r="P528" s="78"/>
      <c r="Q528" s="78"/>
      <c r="R528" s="78"/>
      <c r="S528" s="78"/>
      <c r="T528" s="78"/>
      <c r="U528" s="78"/>
      <c r="V528" s="78"/>
    </row>
    <row r="529" ht="15.75" customHeight="1">
      <c r="P529" s="78"/>
      <c r="Q529" s="78"/>
      <c r="R529" s="78"/>
      <c r="S529" s="78"/>
      <c r="T529" s="78"/>
      <c r="U529" s="78"/>
      <c r="V529" s="78"/>
    </row>
    <row r="530" ht="15.75" customHeight="1">
      <c r="P530" s="78"/>
      <c r="Q530" s="78"/>
      <c r="R530" s="78"/>
      <c r="S530" s="78"/>
      <c r="T530" s="78"/>
      <c r="U530" s="78"/>
      <c r="V530" s="78"/>
    </row>
    <row r="531" ht="15.75" customHeight="1">
      <c r="P531" s="78"/>
      <c r="Q531" s="78"/>
      <c r="R531" s="78"/>
      <c r="S531" s="78"/>
      <c r="T531" s="78"/>
      <c r="U531" s="78"/>
      <c r="V531" s="78"/>
    </row>
    <row r="532" ht="15.75" customHeight="1">
      <c r="P532" s="78"/>
      <c r="Q532" s="78"/>
      <c r="R532" s="78"/>
      <c r="S532" s="78"/>
      <c r="T532" s="78"/>
      <c r="U532" s="78"/>
      <c r="V532" s="78"/>
    </row>
    <row r="533" ht="15.75" customHeight="1">
      <c r="P533" s="78"/>
      <c r="Q533" s="78"/>
      <c r="R533" s="78"/>
      <c r="S533" s="78"/>
      <c r="T533" s="78"/>
      <c r="U533" s="78"/>
      <c r="V533" s="78"/>
    </row>
    <row r="534" ht="15.75" customHeight="1">
      <c r="P534" s="78"/>
      <c r="Q534" s="78"/>
      <c r="R534" s="78"/>
      <c r="S534" s="78"/>
      <c r="T534" s="78"/>
      <c r="U534" s="78"/>
      <c r="V534" s="78"/>
    </row>
    <row r="535" ht="15.75" customHeight="1">
      <c r="P535" s="78"/>
      <c r="Q535" s="78"/>
      <c r="R535" s="78"/>
      <c r="S535" s="78"/>
      <c r="T535" s="78"/>
      <c r="U535" s="78"/>
      <c r="V535" s="78"/>
    </row>
    <row r="536" ht="15.75" customHeight="1">
      <c r="P536" s="78"/>
      <c r="Q536" s="78"/>
      <c r="R536" s="78"/>
      <c r="S536" s="78"/>
      <c r="T536" s="78"/>
      <c r="U536" s="78"/>
      <c r="V536" s="78"/>
    </row>
    <row r="537" ht="15.75" customHeight="1">
      <c r="P537" s="78"/>
      <c r="Q537" s="78"/>
      <c r="R537" s="78"/>
      <c r="S537" s="78"/>
      <c r="T537" s="78"/>
      <c r="U537" s="78"/>
      <c r="V537" s="78"/>
    </row>
    <row r="538" ht="15.75" customHeight="1">
      <c r="P538" s="78"/>
      <c r="Q538" s="78"/>
      <c r="R538" s="78"/>
      <c r="S538" s="78"/>
      <c r="T538" s="78"/>
      <c r="U538" s="78"/>
      <c r="V538" s="78"/>
    </row>
    <row r="539" ht="15.75" customHeight="1">
      <c r="P539" s="78"/>
      <c r="Q539" s="78"/>
      <c r="R539" s="78"/>
      <c r="S539" s="78"/>
      <c r="T539" s="78"/>
      <c r="U539" s="78"/>
      <c r="V539" s="78"/>
    </row>
    <row r="540" ht="15.75" customHeight="1">
      <c r="P540" s="78"/>
      <c r="Q540" s="78"/>
      <c r="R540" s="78"/>
      <c r="S540" s="78"/>
      <c r="T540" s="78"/>
      <c r="U540" s="78"/>
      <c r="V540" s="78"/>
    </row>
    <row r="541" ht="15.75" customHeight="1">
      <c r="P541" s="78"/>
      <c r="Q541" s="78"/>
      <c r="R541" s="78"/>
      <c r="S541" s="78"/>
      <c r="T541" s="78"/>
      <c r="U541" s="78"/>
      <c r="V541" s="78"/>
    </row>
    <row r="542" ht="15.75" customHeight="1">
      <c r="P542" s="78"/>
      <c r="Q542" s="78"/>
      <c r="R542" s="78"/>
      <c r="S542" s="78"/>
      <c r="T542" s="78"/>
      <c r="U542" s="78"/>
      <c r="V542" s="78"/>
    </row>
    <row r="543" ht="15.75" customHeight="1">
      <c r="P543" s="78"/>
      <c r="Q543" s="78"/>
      <c r="R543" s="78"/>
      <c r="S543" s="78"/>
      <c r="T543" s="78"/>
      <c r="U543" s="78"/>
      <c r="V543" s="78"/>
    </row>
    <row r="544" ht="15.75" customHeight="1">
      <c r="P544" s="78"/>
      <c r="Q544" s="78"/>
      <c r="R544" s="78"/>
      <c r="S544" s="78"/>
      <c r="T544" s="78"/>
      <c r="U544" s="78"/>
      <c r="V544" s="78"/>
    </row>
    <row r="545" ht="15.75" customHeight="1">
      <c r="P545" s="78"/>
      <c r="Q545" s="78"/>
      <c r="R545" s="78"/>
      <c r="S545" s="78"/>
      <c r="T545" s="78"/>
      <c r="U545" s="78"/>
      <c r="V545" s="78"/>
    </row>
    <row r="546" ht="15.75" customHeight="1">
      <c r="P546" s="78"/>
      <c r="Q546" s="78"/>
      <c r="R546" s="78"/>
      <c r="S546" s="78"/>
      <c r="T546" s="78"/>
      <c r="U546" s="78"/>
      <c r="V546" s="78"/>
    </row>
    <row r="547" ht="15.75" customHeight="1">
      <c r="P547" s="78"/>
      <c r="Q547" s="78"/>
      <c r="R547" s="78"/>
      <c r="S547" s="78"/>
      <c r="T547" s="78"/>
      <c r="U547" s="78"/>
      <c r="V547" s="78"/>
    </row>
    <row r="548" ht="15.75" customHeight="1">
      <c r="P548" s="78"/>
      <c r="Q548" s="78"/>
      <c r="R548" s="78"/>
      <c r="S548" s="78"/>
      <c r="T548" s="78"/>
      <c r="U548" s="78"/>
      <c r="V548" s="78"/>
    </row>
    <row r="549" ht="15.75" customHeight="1">
      <c r="P549" s="78"/>
      <c r="Q549" s="78"/>
      <c r="R549" s="78"/>
      <c r="S549" s="78"/>
      <c r="T549" s="78"/>
      <c r="U549" s="78"/>
      <c r="V549" s="78"/>
    </row>
    <row r="550" ht="15.75" customHeight="1">
      <c r="P550" s="78"/>
      <c r="Q550" s="78"/>
      <c r="R550" s="78"/>
      <c r="S550" s="78"/>
      <c r="T550" s="78"/>
      <c r="U550" s="78"/>
      <c r="V550" s="78"/>
    </row>
    <row r="551" ht="15.75" customHeight="1">
      <c r="P551" s="78"/>
      <c r="Q551" s="78"/>
      <c r="R551" s="78"/>
      <c r="S551" s="78"/>
      <c r="T551" s="78"/>
      <c r="U551" s="78"/>
      <c r="V551" s="78"/>
    </row>
    <row r="552" ht="15.75" customHeight="1">
      <c r="P552" s="78"/>
      <c r="Q552" s="78"/>
      <c r="R552" s="78"/>
      <c r="S552" s="78"/>
      <c r="T552" s="78"/>
      <c r="U552" s="78"/>
      <c r="V552" s="78"/>
    </row>
    <row r="553" ht="15.75" customHeight="1">
      <c r="P553" s="78"/>
      <c r="Q553" s="78"/>
      <c r="R553" s="78"/>
      <c r="S553" s="78"/>
      <c r="T553" s="78"/>
      <c r="U553" s="78"/>
      <c r="V553" s="78"/>
    </row>
    <row r="554" ht="15.75" customHeight="1">
      <c r="P554" s="78"/>
      <c r="Q554" s="78"/>
      <c r="R554" s="78"/>
      <c r="S554" s="78"/>
      <c r="T554" s="78"/>
      <c r="U554" s="78"/>
      <c r="V554" s="78"/>
    </row>
    <row r="555" ht="15.75" customHeight="1">
      <c r="P555" s="78"/>
      <c r="Q555" s="78"/>
      <c r="R555" s="78"/>
      <c r="S555" s="78"/>
      <c r="T555" s="78"/>
      <c r="U555" s="78"/>
      <c r="V555" s="78"/>
    </row>
    <row r="556" ht="15.75" customHeight="1">
      <c r="P556" s="78"/>
      <c r="Q556" s="78"/>
      <c r="R556" s="78"/>
      <c r="S556" s="78"/>
      <c r="T556" s="78"/>
      <c r="U556" s="78"/>
      <c r="V556" s="78"/>
    </row>
    <row r="557" ht="15.75" customHeight="1">
      <c r="P557" s="78"/>
      <c r="Q557" s="78"/>
      <c r="R557" s="78"/>
      <c r="S557" s="78"/>
      <c r="T557" s="78"/>
      <c r="U557" s="78"/>
      <c r="V557" s="78"/>
    </row>
    <row r="558" ht="15.75" customHeight="1">
      <c r="P558" s="78"/>
      <c r="Q558" s="78"/>
      <c r="R558" s="78"/>
      <c r="S558" s="78"/>
      <c r="T558" s="78"/>
      <c r="U558" s="78"/>
      <c r="V558" s="78"/>
    </row>
    <row r="559" ht="15.75" customHeight="1">
      <c r="P559" s="78"/>
      <c r="Q559" s="78"/>
      <c r="R559" s="78"/>
      <c r="S559" s="78"/>
      <c r="T559" s="78"/>
      <c r="U559" s="78"/>
      <c r="V559" s="78"/>
    </row>
    <row r="560" ht="15.75" customHeight="1">
      <c r="P560" s="78"/>
      <c r="Q560" s="78"/>
      <c r="R560" s="78"/>
      <c r="S560" s="78"/>
      <c r="T560" s="78"/>
      <c r="U560" s="78"/>
      <c r="V560" s="78"/>
    </row>
    <row r="561" ht="15.75" customHeight="1">
      <c r="P561" s="78"/>
      <c r="Q561" s="78"/>
      <c r="R561" s="78"/>
      <c r="S561" s="78"/>
      <c r="T561" s="78"/>
      <c r="U561" s="78"/>
      <c r="V561" s="78"/>
    </row>
    <row r="562" ht="15.75" customHeight="1">
      <c r="P562" s="78"/>
      <c r="Q562" s="78"/>
      <c r="R562" s="78"/>
      <c r="S562" s="78"/>
      <c r="T562" s="78"/>
      <c r="U562" s="78"/>
      <c r="V562" s="78"/>
    </row>
    <row r="563" ht="15.75" customHeight="1">
      <c r="P563" s="78"/>
      <c r="Q563" s="78"/>
      <c r="R563" s="78"/>
      <c r="S563" s="78"/>
      <c r="T563" s="78"/>
      <c r="U563" s="78"/>
      <c r="V563" s="78"/>
    </row>
    <row r="564" ht="15.75" customHeight="1">
      <c r="P564" s="78"/>
      <c r="Q564" s="78"/>
      <c r="R564" s="78"/>
      <c r="S564" s="78"/>
      <c r="T564" s="78"/>
      <c r="U564" s="78"/>
      <c r="V564" s="78"/>
    </row>
    <row r="565" ht="15.75" customHeight="1">
      <c r="P565" s="78"/>
      <c r="Q565" s="78"/>
      <c r="R565" s="78"/>
      <c r="S565" s="78"/>
      <c r="T565" s="78"/>
      <c r="U565" s="78"/>
      <c r="V565" s="78"/>
    </row>
    <row r="566" ht="15.75" customHeight="1">
      <c r="P566" s="78"/>
      <c r="Q566" s="78"/>
      <c r="R566" s="78"/>
      <c r="S566" s="78"/>
      <c r="T566" s="78"/>
      <c r="U566" s="78"/>
      <c r="V566" s="78"/>
    </row>
    <row r="567" ht="15.75" customHeight="1">
      <c r="P567" s="78"/>
      <c r="Q567" s="78"/>
      <c r="R567" s="78"/>
      <c r="S567" s="78"/>
      <c r="T567" s="78"/>
      <c r="U567" s="78"/>
      <c r="V567" s="78"/>
    </row>
    <row r="568" ht="15.75" customHeight="1">
      <c r="P568" s="78"/>
      <c r="Q568" s="78"/>
      <c r="R568" s="78"/>
      <c r="S568" s="78"/>
      <c r="T568" s="78"/>
      <c r="U568" s="78"/>
      <c r="V568" s="78"/>
    </row>
    <row r="569" ht="15.75" customHeight="1">
      <c r="P569" s="78"/>
      <c r="Q569" s="78"/>
      <c r="R569" s="78"/>
      <c r="S569" s="78"/>
      <c r="T569" s="78"/>
      <c r="U569" s="78"/>
      <c r="V569" s="78"/>
    </row>
    <row r="570" ht="15.75" customHeight="1">
      <c r="P570" s="78"/>
      <c r="Q570" s="78"/>
      <c r="R570" s="78"/>
      <c r="S570" s="78"/>
      <c r="T570" s="78"/>
      <c r="U570" s="78"/>
      <c r="V570" s="78"/>
    </row>
    <row r="571" ht="15.75" customHeight="1">
      <c r="P571" s="78"/>
      <c r="Q571" s="78"/>
      <c r="R571" s="78"/>
      <c r="S571" s="78"/>
      <c r="T571" s="78"/>
      <c r="U571" s="78"/>
      <c r="V571" s="78"/>
    </row>
    <row r="572" ht="15.75" customHeight="1">
      <c r="P572" s="78"/>
      <c r="Q572" s="78"/>
      <c r="R572" s="78"/>
      <c r="S572" s="78"/>
      <c r="T572" s="78"/>
      <c r="U572" s="78"/>
      <c r="V572" s="78"/>
    </row>
    <row r="573" ht="15.75" customHeight="1">
      <c r="P573" s="78"/>
      <c r="Q573" s="78"/>
      <c r="R573" s="78"/>
      <c r="S573" s="78"/>
      <c r="T573" s="78"/>
      <c r="U573" s="78"/>
      <c r="V573" s="78"/>
    </row>
    <row r="574" ht="15.75" customHeight="1">
      <c r="P574" s="78"/>
      <c r="Q574" s="78"/>
      <c r="R574" s="78"/>
      <c r="S574" s="78"/>
      <c r="T574" s="78"/>
      <c r="U574" s="78"/>
      <c r="V574" s="78"/>
    </row>
    <row r="575" ht="15.75" customHeight="1">
      <c r="P575" s="78"/>
      <c r="Q575" s="78"/>
      <c r="R575" s="78"/>
      <c r="S575" s="78"/>
      <c r="T575" s="78"/>
      <c r="U575" s="78"/>
      <c r="V575" s="78"/>
    </row>
    <row r="576" ht="15.75" customHeight="1">
      <c r="P576" s="78"/>
      <c r="Q576" s="78"/>
      <c r="R576" s="78"/>
      <c r="S576" s="78"/>
      <c r="T576" s="78"/>
      <c r="U576" s="78"/>
      <c r="V576" s="78"/>
    </row>
    <row r="577" ht="15.75" customHeight="1">
      <c r="P577" s="78"/>
      <c r="Q577" s="78"/>
      <c r="R577" s="78"/>
      <c r="S577" s="78"/>
      <c r="T577" s="78"/>
      <c r="U577" s="78"/>
      <c r="V577" s="78"/>
    </row>
    <row r="578" ht="15.75" customHeight="1">
      <c r="P578" s="78"/>
      <c r="Q578" s="78"/>
      <c r="R578" s="78"/>
      <c r="S578" s="78"/>
      <c r="T578" s="78"/>
      <c r="U578" s="78"/>
      <c r="V578" s="78"/>
    </row>
    <row r="579" ht="15.75" customHeight="1">
      <c r="P579" s="78"/>
      <c r="Q579" s="78"/>
      <c r="R579" s="78"/>
      <c r="S579" s="78"/>
      <c r="T579" s="78"/>
      <c r="U579" s="78"/>
      <c r="V579" s="78"/>
    </row>
    <row r="580" ht="15.75" customHeight="1">
      <c r="P580" s="78"/>
      <c r="Q580" s="78"/>
      <c r="R580" s="78"/>
      <c r="S580" s="78"/>
      <c r="T580" s="78"/>
      <c r="U580" s="78"/>
      <c r="V580" s="78"/>
    </row>
    <row r="581" ht="15.75" customHeight="1">
      <c r="P581" s="78"/>
      <c r="Q581" s="78"/>
      <c r="R581" s="78"/>
      <c r="S581" s="78"/>
      <c r="T581" s="78"/>
      <c r="U581" s="78"/>
      <c r="V581" s="78"/>
    </row>
    <row r="582" ht="15.75" customHeight="1">
      <c r="P582" s="78"/>
      <c r="Q582" s="78"/>
      <c r="R582" s="78"/>
      <c r="S582" s="78"/>
      <c r="T582" s="78"/>
      <c r="U582" s="78"/>
      <c r="V582" s="78"/>
    </row>
    <row r="583" ht="15.75" customHeight="1">
      <c r="P583" s="78"/>
      <c r="Q583" s="78"/>
      <c r="R583" s="78"/>
      <c r="S583" s="78"/>
      <c r="T583" s="78"/>
      <c r="U583" s="78"/>
      <c r="V583" s="78"/>
    </row>
    <row r="584" ht="15.75" customHeight="1">
      <c r="P584" s="78"/>
      <c r="Q584" s="78"/>
      <c r="R584" s="78"/>
      <c r="S584" s="78"/>
      <c r="T584" s="78"/>
      <c r="U584" s="78"/>
      <c r="V584" s="78"/>
    </row>
    <row r="585" ht="15.75" customHeight="1">
      <c r="P585" s="78"/>
      <c r="Q585" s="78"/>
      <c r="R585" s="78"/>
      <c r="S585" s="78"/>
      <c r="T585" s="78"/>
      <c r="U585" s="78"/>
      <c r="V585" s="78"/>
    </row>
    <row r="586" ht="15.75" customHeight="1">
      <c r="P586" s="78"/>
      <c r="Q586" s="78"/>
      <c r="R586" s="78"/>
      <c r="S586" s="78"/>
      <c r="T586" s="78"/>
      <c r="U586" s="78"/>
      <c r="V586" s="78"/>
    </row>
    <row r="587" ht="15.75" customHeight="1">
      <c r="P587" s="78"/>
      <c r="Q587" s="78"/>
      <c r="R587" s="78"/>
      <c r="S587" s="78"/>
      <c r="T587" s="78"/>
      <c r="U587" s="78"/>
      <c r="V587" s="78"/>
    </row>
    <row r="588" ht="15.75" customHeight="1">
      <c r="P588" s="78"/>
      <c r="Q588" s="78"/>
      <c r="R588" s="78"/>
      <c r="S588" s="78"/>
      <c r="T588" s="78"/>
      <c r="U588" s="78"/>
      <c r="V588" s="78"/>
    </row>
    <row r="589" ht="15.75" customHeight="1">
      <c r="P589" s="78"/>
      <c r="Q589" s="78"/>
      <c r="R589" s="78"/>
      <c r="S589" s="78"/>
      <c r="T589" s="78"/>
      <c r="U589" s="78"/>
      <c r="V589" s="78"/>
    </row>
    <row r="590" ht="15.75" customHeight="1">
      <c r="P590" s="78"/>
      <c r="Q590" s="78"/>
      <c r="R590" s="78"/>
      <c r="S590" s="78"/>
      <c r="T590" s="78"/>
      <c r="U590" s="78"/>
      <c r="V590" s="78"/>
    </row>
    <row r="591" ht="15.75" customHeight="1">
      <c r="P591" s="78"/>
      <c r="Q591" s="78"/>
      <c r="R591" s="78"/>
      <c r="S591" s="78"/>
      <c r="T591" s="78"/>
      <c r="U591" s="78"/>
      <c r="V591" s="78"/>
    </row>
    <row r="592" ht="15.75" customHeight="1">
      <c r="P592" s="78"/>
      <c r="Q592" s="78"/>
      <c r="R592" s="78"/>
      <c r="S592" s="78"/>
      <c r="T592" s="78"/>
      <c r="U592" s="78"/>
      <c r="V592" s="78"/>
    </row>
    <row r="593" ht="15.75" customHeight="1">
      <c r="P593" s="78"/>
      <c r="Q593" s="78"/>
      <c r="R593" s="78"/>
      <c r="S593" s="78"/>
      <c r="T593" s="78"/>
      <c r="U593" s="78"/>
      <c r="V593" s="78"/>
    </row>
    <row r="594" ht="15.75" customHeight="1">
      <c r="P594" s="78"/>
      <c r="Q594" s="78"/>
      <c r="R594" s="78"/>
      <c r="S594" s="78"/>
      <c r="T594" s="78"/>
      <c r="U594" s="78"/>
      <c r="V594" s="78"/>
    </row>
    <row r="595" ht="15.75" customHeight="1">
      <c r="P595" s="78"/>
      <c r="Q595" s="78"/>
      <c r="R595" s="78"/>
      <c r="S595" s="78"/>
      <c r="T595" s="78"/>
      <c r="U595" s="78"/>
      <c r="V595" s="78"/>
    </row>
    <row r="596" ht="15.75" customHeight="1">
      <c r="P596" s="78"/>
      <c r="Q596" s="78"/>
      <c r="R596" s="78"/>
      <c r="S596" s="78"/>
      <c r="T596" s="78"/>
      <c r="U596" s="78"/>
      <c r="V596" s="78"/>
    </row>
    <row r="597" ht="15.75" customHeight="1">
      <c r="P597" s="78"/>
      <c r="Q597" s="78"/>
      <c r="R597" s="78"/>
      <c r="S597" s="78"/>
      <c r="T597" s="78"/>
      <c r="U597" s="78"/>
      <c r="V597" s="78"/>
    </row>
    <row r="598" ht="15.75" customHeight="1">
      <c r="P598" s="78"/>
      <c r="Q598" s="78"/>
      <c r="R598" s="78"/>
      <c r="S598" s="78"/>
      <c r="T598" s="78"/>
      <c r="U598" s="78"/>
      <c r="V598" s="78"/>
    </row>
    <row r="599" ht="15.75" customHeight="1">
      <c r="P599" s="78"/>
      <c r="Q599" s="78"/>
      <c r="R599" s="78"/>
      <c r="S599" s="78"/>
      <c r="T599" s="78"/>
      <c r="U599" s="78"/>
      <c r="V599" s="78"/>
    </row>
    <row r="600" ht="15.75" customHeight="1">
      <c r="P600" s="78"/>
      <c r="Q600" s="78"/>
      <c r="R600" s="78"/>
      <c r="S600" s="78"/>
      <c r="T600" s="78"/>
      <c r="U600" s="78"/>
      <c r="V600" s="78"/>
    </row>
    <row r="601" ht="15.75" customHeight="1">
      <c r="P601" s="78"/>
      <c r="Q601" s="78"/>
      <c r="R601" s="78"/>
      <c r="S601" s="78"/>
      <c r="T601" s="78"/>
      <c r="U601" s="78"/>
      <c r="V601" s="78"/>
    </row>
    <row r="602" ht="15.75" customHeight="1">
      <c r="P602" s="78"/>
      <c r="Q602" s="78"/>
      <c r="R602" s="78"/>
      <c r="S602" s="78"/>
      <c r="T602" s="78"/>
      <c r="U602" s="78"/>
      <c r="V602" s="78"/>
    </row>
    <row r="603" ht="15.75" customHeight="1">
      <c r="P603" s="78"/>
      <c r="Q603" s="78"/>
      <c r="R603" s="78"/>
      <c r="S603" s="78"/>
      <c r="T603" s="78"/>
      <c r="U603" s="78"/>
      <c r="V603" s="78"/>
    </row>
    <row r="604" ht="15.75" customHeight="1">
      <c r="P604" s="78"/>
      <c r="Q604" s="78"/>
      <c r="R604" s="78"/>
      <c r="S604" s="78"/>
      <c r="T604" s="78"/>
      <c r="U604" s="78"/>
      <c r="V604" s="78"/>
    </row>
    <row r="605" ht="15.75" customHeight="1">
      <c r="P605" s="78"/>
      <c r="Q605" s="78"/>
      <c r="R605" s="78"/>
      <c r="S605" s="78"/>
      <c r="T605" s="78"/>
      <c r="U605" s="78"/>
      <c r="V605" s="78"/>
    </row>
    <row r="606" ht="15.75" customHeight="1">
      <c r="P606" s="78"/>
      <c r="Q606" s="78"/>
      <c r="R606" s="78"/>
      <c r="S606" s="78"/>
      <c r="T606" s="78"/>
      <c r="U606" s="78"/>
      <c r="V606" s="78"/>
    </row>
    <row r="607" ht="15.75" customHeight="1">
      <c r="P607" s="78"/>
      <c r="Q607" s="78"/>
      <c r="R607" s="78"/>
      <c r="S607" s="78"/>
      <c r="T607" s="78"/>
      <c r="U607" s="78"/>
      <c r="V607" s="78"/>
    </row>
    <row r="608" ht="15.75" customHeight="1">
      <c r="P608" s="78"/>
      <c r="Q608" s="78"/>
      <c r="R608" s="78"/>
      <c r="S608" s="78"/>
      <c r="T608" s="78"/>
      <c r="U608" s="78"/>
      <c r="V608" s="78"/>
    </row>
    <row r="609" ht="15.75" customHeight="1">
      <c r="P609" s="78"/>
      <c r="Q609" s="78"/>
      <c r="R609" s="78"/>
      <c r="S609" s="78"/>
      <c r="T609" s="78"/>
      <c r="U609" s="78"/>
      <c r="V609" s="78"/>
    </row>
    <row r="610" ht="15.75" customHeight="1">
      <c r="P610" s="78"/>
      <c r="Q610" s="78"/>
      <c r="R610" s="78"/>
      <c r="S610" s="78"/>
      <c r="T610" s="78"/>
      <c r="U610" s="78"/>
      <c r="V610" s="78"/>
    </row>
    <row r="611" ht="15.75" customHeight="1">
      <c r="P611" s="78"/>
      <c r="Q611" s="78"/>
      <c r="R611" s="78"/>
      <c r="S611" s="78"/>
      <c r="T611" s="78"/>
      <c r="U611" s="78"/>
      <c r="V611" s="78"/>
    </row>
    <row r="612" ht="15.75" customHeight="1">
      <c r="P612" s="78"/>
      <c r="Q612" s="78"/>
      <c r="R612" s="78"/>
      <c r="S612" s="78"/>
      <c r="T612" s="78"/>
      <c r="U612" s="78"/>
      <c r="V612" s="78"/>
    </row>
    <row r="613" ht="15.75" customHeight="1">
      <c r="P613" s="78"/>
      <c r="Q613" s="78"/>
      <c r="R613" s="78"/>
      <c r="S613" s="78"/>
      <c r="T613" s="78"/>
      <c r="U613" s="78"/>
      <c r="V613" s="78"/>
    </row>
    <row r="614" ht="15.75" customHeight="1">
      <c r="P614" s="78"/>
      <c r="Q614" s="78"/>
      <c r="R614" s="78"/>
      <c r="S614" s="78"/>
      <c r="T614" s="78"/>
      <c r="U614" s="78"/>
      <c r="V614" s="78"/>
    </row>
    <row r="615" ht="15.75" customHeight="1">
      <c r="P615" s="78"/>
      <c r="Q615" s="78"/>
      <c r="R615" s="78"/>
      <c r="S615" s="78"/>
      <c r="T615" s="78"/>
      <c r="U615" s="78"/>
      <c r="V615" s="78"/>
    </row>
    <row r="616" ht="15.75" customHeight="1">
      <c r="P616" s="78"/>
      <c r="Q616" s="78"/>
      <c r="R616" s="78"/>
      <c r="S616" s="78"/>
      <c r="T616" s="78"/>
      <c r="U616" s="78"/>
      <c r="V616" s="78"/>
    </row>
    <row r="617" ht="15.75" customHeight="1">
      <c r="P617" s="78"/>
      <c r="Q617" s="78"/>
      <c r="R617" s="78"/>
      <c r="S617" s="78"/>
      <c r="T617" s="78"/>
      <c r="U617" s="78"/>
      <c r="V617" s="78"/>
    </row>
    <row r="618" ht="15.75" customHeight="1">
      <c r="P618" s="78"/>
      <c r="Q618" s="78"/>
      <c r="R618" s="78"/>
      <c r="S618" s="78"/>
      <c r="T618" s="78"/>
      <c r="U618" s="78"/>
      <c r="V618" s="78"/>
    </row>
    <row r="619" ht="15.75" customHeight="1">
      <c r="P619" s="78"/>
      <c r="Q619" s="78"/>
      <c r="R619" s="78"/>
      <c r="S619" s="78"/>
      <c r="T619" s="78"/>
      <c r="U619" s="78"/>
      <c r="V619" s="78"/>
    </row>
    <row r="620" ht="15.75" customHeight="1">
      <c r="P620" s="78"/>
      <c r="Q620" s="78"/>
      <c r="R620" s="78"/>
      <c r="S620" s="78"/>
      <c r="T620" s="78"/>
      <c r="U620" s="78"/>
      <c r="V620" s="78"/>
    </row>
    <row r="621" ht="15.75" customHeight="1">
      <c r="P621" s="78"/>
      <c r="Q621" s="78"/>
      <c r="R621" s="78"/>
      <c r="S621" s="78"/>
      <c r="T621" s="78"/>
      <c r="U621" s="78"/>
      <c r="V621" s="78"/>
    </row>
    <row r="622" ht="15.75" customHeight="1">
      <c r="P622" s="78"/>
      <c r="Q622" s="78"/>
      <c r="R622" s="78"/>
      <c r="S622" s="78"/>
      <c r="T622" s="78"/>
      <c r="U622" s="78"/>
      <c r="V622" s="78"/>
    </row>
    <row r="623" ht="15.75" customHeight="1">
      <c r="P623" s="78"/>
      <c r="Q623" s="78"/>
      <c r="R623" s="78"/>
      <c r="S623" s="78"/>
      <c r="T623" s="78"/>
      <c r="U623" s="78"/>
      <c r="V623" s="78"/>
    </row>
    <row r="624" ht="15.75" customHeight="1">
      <c r="P624" s="78"/>
      <c r="Q624" s="78"/>
      <c r="R624" s="78"/>
      <c r="S624" s="78"/>
      <c r="T624" s="78"/>
      <c r="U624" s="78"/>
      <c r="V624" s="78"/>
    </row>
    <row r="625" ht="15.75" customHeight="1">
      <c r="P625" s="78"/>
      <c r="Q625" s="78"/>
      <c r="R625" s="78"/>
      <c r="S625" s="78"/>
      <c r="T625" s="78"/>
      <c r="U625" s="78"/>
      <c r="V625" s="78"/>
    </row>
    <row r="626" ht="15.75" customHeight="1">
      <c r="P626" s="78"/>
      <c r="Q626" s="78"/>
      <c r="R626" s="78"/>
      <c r="S626" s="78"/>
      <c r="T626" s="78"/>
      <c r="U626" s="78"/>
      <c r="V626" s="78"/>
    </row>
    <row r="627" ht="15.75" customHeight="1">
      <c r="P627" s="78"/>
      <c r="Q627" s="78"/>
      <c r="R627" s="78"/>
      <c r="S627" s="78"/>
      <c r="T627" s="78"/>
      <c r="U627" s="78"/>
      <c r="V627" s="78"/>
    </row>
    <row r="628" ht="15.75" customHeight="1">
      <c r="P628" s="78"/>
      <c r="Q628" s="78"/>
      <c r="R628" s="78"/>
      <c r="S628" s="78"/>
      <c r="T628" s="78"/>
      <c r="U628" s="78"/>
      <c r="V628" s="78"/>
    </row>
    <row r="629" ht="15.75" customHeight="1">
      <c r="P629" s="78"/>
      <c r="Q629" s="78"/>
      <c r="R629" s="78"/>
      <c r="S629" s="78"/>
      <c r="T629" s="78"/>
      <c r="U629" s="78"/>
      <c r="V629" s="78"/>
    </row>
    <row r="630" ht="15.75" customHeight="1">
      <c r="P630" s="78"/>
      <c r="Q630" s="78"/>
      <c r="R630" s="78"/>
      <c r="S630" s="78"/>
      <c r="T630" s="78"/>
      <c r="U630" s="78"/>
      <c r="V630" s="78"/>
    </row>
    <row r="631" ht="15.75" customHeight="1">
      <c r="P631" s="78"/>
      <c r="Q631" s="78"/>
      <c r="R631" s="78"/>
      <c r="S631" s="78"/>
      <c r="T631" s="78"/>
      <c r="U631" s="78"/>
      <c r="V631" s="78"/>
    </row>
    <row r="632" ht="15.75" customHeight="1">
      <c r="P632" s="78"/>
      <c r="Q632" s="78"/>
      <c r="R632" s="78"/>
      <c r="S632" s="78"/>
      <c r="T632" s="78"/>
      <c r="U632" s="78"/>
      <c r="V632" s="78"/>
    </row>
    <row r="633" ht="15.75" customHeight="1">
      <c r="P633" s="78"/>
      <c r="Q633" s="78"/>
      <c r="R633" s="78"/>
      <c r="S633" s="78"/>
      <c r="T633" s="78"/>
      <c r="U633" s="78"/>
      <c r="V633" s="78"/>
    </row>
    <row r="634" ht="15.75" customHeight="1">
      <c r="P634" s="78"/>
      <c r="Q634" s="78"/>
      <c r="R634" s="78"/>
      <c r="S634" s="78"/>
      <c r="T634" s="78"/>
      <c r="U634" s="78"/>
      <c r="V634" s="78"/>
    </row>
    <row r="635" ht="15.75" customHeight="1">
      <c r="P635" s="78"/>
      <c r="Q635" s="78"/>
      <c r="R635" s="78"/>
      <c r="S635" s="78"/>
      <c r="T635" s="78"/>
      <c r="U635" s="78"/>
      <c r="V635" s="78"/>
    </row>
    <row r="636" ht="15.75" customHeight="1">
      <c r="P636" s="78"/>
      <c r="Q636" s="78"/>
      <c r="R636" s="78"/>
      <c r="S636" s="78"/>
      <c r="T636" s="78"/>
      <c r="U636" s="78"/>
      <c r="V636" s="78"/>
    </row>
    <row r="637" ht="15.75" customHeight="1">
      <c r="P637" s="78"/>
      <c r="Q637" s="78"/>
      <c r="R637" s="78"/>
      <c r="S637" s="78"/>
      <c r="T637" s="78"/>
      <c r="U637" s="78"/>
      <c r="V637" s="78"/>
    </row>
    <row r="638" ht="15.75" customHeight="1">
      <c r="P638" s="78"/>
      <c r="Q638" s="78"/>
      <c r="R638" s="78"/>
      <c r="S638" s="78"/>
      <c r="T638" s="78"/>
      <c r="U638" s="78"/>
      <c r="V638" s="78"/>
    </row>
    <row r="639" ht="15.75" customHeight="1">
      <c r="P639" s="78"/>
      <c r="Q639" s="78"/>
      <c r="R639" s="78"/>
      <c r="S639" s="78"/>
      <c r="T639" s="78"/>
      <c r="U639" s="78"/>
      <c r="V639" s="78"/>
    </row>
    <row r="640" ht="15.75" customHeight="1">
      <c r="P640" s="78"/>
      <c r="Q640" s="78"/>
      <c r="R640" s="78"/>
      <c r="S640" s="78"/>
      <c r="T640" s="78"/>
      <c r="U640" s="78"/>
      <c r="V640" s="78"/>
    </row>
    <row r="641" ht="15.75" customHeight="1">
      <c r="P641" s="78"/>
      <c r="Q641" s="78"/>
      <c r="R641" s="78"/>
      <c r="S641" s="78"/>
      <c r="T641" s="78"/>
      <c r="U641" s="78"/>
      <c r="V641" s="78"/>
    </row>
    <row r="642" ht="15.75" customHeight="1">
      <c r="P642" s="78"/>
      <c r="Q642" s="78"/>
      <c r="R642" s="78"/>
      <c r="S642" s="78"/>
      <c r="T642" s="78"/>
      <c r="U642" s="78"/>
      <c r="V642" s="78"/>
    </row>
    <row r="643" ht="15.75" customHeight="1">
      <c r="P643" s="78"/>
      <c r="Q643" s="78"/>
      <c r="R643" s="78"/>
      <c r="S643" s="78"/>
      <c r="T643" s="78"/>
      <c r="U643" s="78"/>
      <c r="V643" s="78"/>
    </row>
    <row r="644" ht="15.75" customHeight="1">
      <c r="P644" s="78"/>
      <c r="Q644" s="78"/>
      <c r="R644" s="78"/>
      <c r="S644" s="78"/>
      <c r="T644" s="78"/>
      <c r="U644" s="78"/>
      <c r="V644" s="78"/>
    </row>
    <row r="645" ht="15.75" customHeight="1">
      <c r="P645" s="78"/>
      <c r="Q645" s="78"/>
      <c r="R645" s="78"/>
      <c r="S645" s="78"/>
      <c r="T645" s="78"/>
      <c r="U645" s="78"/>
      <c r="V645" s="78"/>
    </row>
    <row r="646" ht="15.75" customHeight="1">
      <c r="P646" s="78"/>
      <c r="Q646" s="78"/>
      <c r="R646" s="78"/>
      <c r="S646" s="78"/>
      <c r="T646" s="78"/>
      <c r="U646" s="78"/>
      <c r="V646" s="78"/>
    </row>
    <row r="647" ht="15.75" customHeight="1">
      <c r="P647" s="78"/>
      <c r="Q647" s="78"/>
      <c r="R647" s="78"/>
      <c r="S647" s="78"/>
      <c r="T647" s="78"/>
      <c r="U647" s="78"/>
      <c r="V647" s="78"/>
    </row>
    <row r="648" ht="15.75" customHeight="1">
      <c r="P648" s="78"/>
      <c r="Q648" s="78"/>
      <c r="R648" s="78"/>
      <c r="S648" s="78"/>
      <c r="T648" s="78"/>
      <c r="U648" s="78"/>
      <c r="V648" s="78"/>
    </row>
    <row r="649" ht="15.75" customHeight="1">
      <c r="P649" s="78"/>
      <c r="Q649" s="78"/>
      <c r="R649" s="78"/>
      <c r="S649" s="78"/>
      <c r="T649" s="78"/>
      <c r="U649" s="78"/>
      <c r="V649" s="78"/>
    </row>
    <row r="650" ht="15.75" customHeight="1">
      <c r="P650" s="78"/>
      <c r="Q650" s="78"/>
      <c r="R650" s="78"/>
      <c r="S650" s="78"/>
      <c r="T650" s="78"/>
      <c r="U650" s="78"/>
      <c r="V650" s="78"/>
    </row>
    <row r="651" ht="15.75" customHeight="1">
      <c r="P651" s="78"/>
      <c r="Q651" s="78"/>
      <c r="R651" s="78"/>
      <c r="S651" s="78"/>
      <c r="T651" s="78"/>
      <c r="U651" s="78"/>
      <c r="V651" s="78"/>
    </row>
    <row r="652" ht="15.75" customHeight="1">
      <c r="P652" s="78"/>
      <c r="Q652" s="78"/>
      <c r="R652" s="78"/>
      <c r="S652" s="78"/>
      <c r="T652" s="78"/>
      <c r="U652" s="78"/>
      <c r="V652" s="78"/>
    </row>
    <row r="653" ht="15.75" customHeight="1">
      <c r="P653" s="78"/>
      <c r="Q653" s="78"/>
      <c r="R653" s="78"/>
      <c r="S653" s="78"/>
      <c r="T653" s="78"/>
      <c r="U653" s="78"/>
      <c r="V653" s="78"/>
    </row>
    <row r="654" ht="15.75" customHeight="1">
      <c r="P654" s="78"/>
      <c r="Q654" s="78"/>
      <c r="R654" s="78"/>
      <c r="S654" s="78"/>
      <c r="T654" s="78"/>
      <c r="U654" s="78"/>
      <c r="V654" s="78"/>
    </row>
    <row r="655" ht="15.75" customHeight="1">
      <c r="P655" s="78"/>
      <c r="Q655" s="78"/>
      <c r="R655" s="78"/>
      <c r="S655" s="78"/>
      <c r="T655" s="78"/>
      <c r="U655" s="78"/>
      <c r="V655" s="78"/>
    </row>
    <row r="656" ht="15.75" customHeight="1">
      <c r="P656" s="78"/>
      <c r="Q656" s="78"/>
      <c r="R656" s="78"/>
      <c r="S656" s="78"/>
      <c r="T656" s="78"/>
      <c r="U656" s="78"/>
      <c r="V656" s="78"/>
    </row>
    <row r="657" ht="15.75" customHeight="1">
      <c r="P657" s="78"/>
      <c r="Q657" s="78"/>
      <c r="R657" s="78"/>
      <c r="S657" s="78"/>
      <c r="T657" s="78"/>
      <c r="U657" s="78"/>
      <c r="V657" s="78"/>
    </row>
    <row r="658" ht="15.75" customHeight="1">
      <c r="P658" s="78"/>
      <c r="Q658" s="78"/>
      <c r="R658" s="78"/>
      <c r="S658" s="78"/>
      <c r="T658" s="78"/>
      <c r="U658" s="78"/>
      <c r="V658" s="78"/>
    </row>
    <row r="659" ht="15.75" customHeight="1">
      <c r="P659" s="78"/>
      <c r="Q659" s="78"/>
      <c r="R659" s="78"/>
      <c r="S659" s="78"/>
      <c r="T659" s="78"/>
      <c r="U659" s="78"/>
      <c r="V659" s="78"/>
    </row>
    <row r="660" ht="15.75" customHeight="1">
      <c r="P660" s="78"/>
      <c r="Q660" s="78"/>
      <c r="R660" s="78"/>
      <c r="S660" s="78"/>
      <c r="T660" s="78"/>
      <c r="U660" s="78"/>
      <c r="V660" s="78"/>
    </row>
    <row r="661" ht="15.75" customHeight="1">
      <c r="P661" s="78"/>
      <c r="Q661" s="78"/>
      <c r="R661" s="78"/>
      <c r="S661" s="78"/>
      <c r="T661" s="78"/>
      <c r="U661" s="78"/>
      <c r="V661" s="78"/>
    </row>
    <row r="662" ht="15.75" customHeight="1">
      <c r="P662" s="78"/>
      <c r="Q662" s="78"/>
      <c r="R662" s="78"/>
      <c r="S662" s="78"/>
      <c r="T662" s="78"/>
      <c r="U662" s="78"/>
      <c r="V662" s="78"/>
    </row>
    <row r="663" ht="15.75" customHeight="1">
      <c r="P663" s="78"/>
      <c r="Q663" s="78"/>
      <c r="R663" s="78"/>
      <c r="S663" s="78"/>
      <c r="T663" s="78"/>
      <c r="U663" s="78"/>
      <c r="V663" s="78"/>
    </row>
    <row r="664" ht="15.75" customHeight="1">
      <c r="P664" s="78"/>
      <c r="Q664" s="78"/>
      <c r="R664" s="78"/>
      <c r="S664" s="78"/>
      <c r="T664" s="78"/>
      <c r="U664" s="78"/>
      <c r="V664" s="78"/>
    </row>
    <row r="665" ht="15.75" customHeight="1">
      <c r="P665" s="78"/>
      <c r="Q665" s="78"/>
      <c r="R665" s="78"/>
      <c r="S665" s="78"/>
      <c r="T665" s="78"/>
      <c r="U665" s="78"/>
      <c r="V665" s="78"/>
    </row>
    <row r="666" ht="15.75" customHeight="1">
      <c r="P666" s="78"/>
      <c r="Q666" s="78"/>
      <c r="R666" s="78"/>
      <c r="S666" s="78"/>
      <c r="T666" s="78"/>
      <c r="U666" s="78"/>
      <c r="V666" s="78"/>
    </row>
    <row r="667" ht="15.75" customHeight="1">
      <c r="P667" s="78"/>
      <c r="Q667" s="78"/>
      <c r="R667" s="78"/>
      <c r="S667" s="78"/>
      <c r="T667" s="78"/>
      <c r="U667" s="78"/>
      <c r="V667" s="78"/>
    </row>
    <row r="668" ht="15.75" customHeight="1">
      <c r="P668" s="78"/>
      <c r="Q668" s="78"/>
      <c r="R668" s="78"/>
      <c r="S668" s="78"/>
      <c r="T668" s="78"/>
      <c r="U668" s="78"/>
      <c r="V668" s="78"/>
    </row>
    <row r="669" ht="15.75" customHeight="1">
      <c r="P669" s="78"/>
      <c r="Q669" s="78"/>
      <c r="R669" s="78"/>
      <c r="S669" s="78"/>
      <c r="T669" s="78"/>
      <c r="U669" s="78"/>
      <c r="V669" s="78"/>
    </row>
    <row r="670" ht="15.75" customHeight="1">
      <c r="P670" s="78"/>
      <c r="Q670" s="78"/>
      <c r="R670" s="78"/>
      <c r="S670" s="78"/>
      <c r="T670" s="78"/>
      <c r="U670" s="78"/>
      <c r="V670" s="78"/>
    </row>
    <row r="671" ht="15.75" customHeight="1">
      <c r="P671" s="78"/>
      <c r="Q671" s="78"/>
      <c r="R671" s="78"/>
      <c r="S671" s="78"/>
      <c r="T671" s="78"/>
      <c r="U671" s="78"/>
      <c r="V671" s="78"/>
    </row>
    <row r="672" ht="15.75" customHeight="1">
      <c r="P672" s="78"/>
      <c r="Q672" s="78"/>
      <c r="R672" s="78"/>
      <c r="S672" s="78"/>
      <c r="T672" s="78"/>
      <c r="U672" s="78"/>
      <c r="V672" s="78"/>
    </row>
    <row r="673" ht="15.75" customHeight="1">
      <c r="P673" s="78"/>
      <c r="Q673" s="78"/>
      <c r="R673" s="78"/>
      <c r="S673" s="78"/>
      <c r="T673" s="78"/>
      <c r="U673" s="78"/>
      <c r="V673" s="78"/>
    </row>
    <row r="674" ht="15.75" customHeight="1">
      <c r="P674" s="78"/>
      <c r="Q674" s="78"/>
      <c r="R674" s="78"/>
      <c r="S674" s="78"/>
      <c r="T674" s="78"/>
      <c r="U674" s="78"/>
      <c r="V674" s="78"/>
    </row>
    <row r="675" ht="15.75" customHeight="1">
      <c r="P675" s="78"/>
      <c r="Q675" s="78"/>
      <c r="R675" s="78"/>
      <c r="S675" s="78"/>
      <c r="T675" s="78"/>
      <c r="U675" s="78"/>
      <c r="V675" s="78"/>
    </row>
    <row r="676" ht="15.75" customHeight="1">
      <c r="P676" s="78"/>
      <c r="Q676" s="78"/>
      <c r="R676" s="78"/>
      <c r="S676" s="78"/>
      <c r="T676" s="78"/>
      <c r="U676" s="78"/>
      <c r="V676" s="78"/>
    </row>
    <row r="677" ht="15.75" customHeight="1">
      <c r="P677" s="78"/>
      <c r="Q677" s="78"/>
      <c r="R677" s="78"/>
      <c r="S677" s="78"/>
      <c r="T677" s="78"/>
      <c r="U677" s="78"/>
      <c r="V677" s="78"/>
    </row>
    <row r="678" ht="15.75" customHeight="1">
      <c r="P678" s="78"/>
      <c r="Q678" s="78"/>
      <c r="R678" s="78"/>
      <c r="S678" s="78"/>
      <c r="T678" s="78"/>
      <c r="U678" s="78"/>
      <c r="V678" s="78"/>
    </row>
    <row r="679" ht="15.75" customHeight="1">
      <c r="P679" s="78"/>
      <c r="Q679" s="78"/>
      <c r="R679" s="78"/>
      <c r="S679" s="78"/>
      <c r="T679" s="78"/>
      <c r="U679" s="78"/>
      <c r="V679" s="78"/>
    </row>
    <row r="680" ht="15.75" customHeight="1">
      <c r="P680" s="78"/>
      <c r="Q680" s="78"/>
      <c r="R680" s="78"/>
      <c r="S680" s="78"/>
      <c r="T680" s="78"/>
      <c r="U680" s="78"/>
      <c r="V680" s="78"/>
    </row>
    <row r="681" ht="15.75" customHeight="1">
      <c r="P681" s="78"/>
      <c r="Q681" s="78"/>
      <c r="R681" s="78"/>
      <c r="S681" s="78"/>
      <c r="T681" s="78"/>
      <c r="U681" s="78"/>
      <c r="V681" s="78"/>
    </row>
    <row r="682" ht="15.75" customHeight="1">
      <c r="P682" s="78"/>
      <c r="Q682" s="78"/>
      <c r="R682" s="78"/>
      <c r="S682" s="78"/>
      <c r="T682" s="78"/>
      <c r="U682" s="78"/>
      <c r="V682" s="78"/>
    </row>
    <row r="683" ht="15.75" customHeight="1">
      <c r="P683" s="78"/>
      <c r="Q683" s="78"/>
      <c r="R683" s="78"/>
      <c r="S683" s="78"/>
      <c r="T683" s="78"/>
      <c r="U683" s="78"/>
      <c r="V683" s="78"/>
    </row>
    <row r="684" ht="15.75" customHeight="1">
      <c r="P684" s="78"/>
      <c r="Q684" s="78"/>
      <c r="R684" s="78"/>
      <c r="S684" s="78"/>
      <c r="T684" s="78"/>
      <c r="U684" s="78"/>
      <c r="V684" s="78"/>
    </row>
    <row r="685" ht="15.75" customHeight="1">
      <c r="P685" s="78"/>
      <c r="Q685" s="78"/>
      <c r="R685" s="78"/>
      <c r="S685" s="78"/>
      <c r="T685" s="78"/>
      <c r="U685" s="78"/>
      <c r="V685" s="78"/>
    </row>
    <row r="686" ht="15.75" customHeight="1">
      <c r="P686" s="78"/>
      <c r="Q686" s="78"/>
      <c r="R686" s="78"/>
      <c r="S686" s="78"/>
      <c r="T686" s="78"/>
      <c r="U686" s="78"/>
      <c r="V686" s="78"/>
    </row>
    <row r="687" ht="15.75" customHeight="1">
      <c r="P687" s="78"/>
      <c r="Q687" s="78"/>
      <c r="R687" s="78"/>
      <c r="S687" s="78"/>
      <c r="T687" s="78"/>
      <c r="U687" s="78"/>
      <c r="V687" s="78"/>
    </row>
    <row r="688" ht="15.75" customHeight="1">
      <c r="P688" s="78"/>
      <c r="Q688" s="78"/>
      <c r="R688" s="78"/>
      <c r="S688" s="78"/>
      <c r="T688" s="78"/>
      <c r="U688" s="78"/>
      <c r="V688" s="78"/>
    </row>
    <row r="689" ht="15.75" customHeight="1">
      <c r="P689" s="78"/>
      <c r="Q689" s="78"/>
      <c r="R689" s="78"/>
      <c r="S689" s="78"/>
      <c r="T689" s="78"/>
      <c r="U689" s="78"/>
      <c r="V689" s="78"/>
    </row>
    <row r="690" ht="15.75" customHeight="1">
      <c r="P690" s="78"/>
      <c r="Q690" s="78"/>
      <c r="R690" s="78"/>
      <c r="S690" s="78"/>
      <c r="T690" s="78"/>
      <c r="U690" s="78"/>
      <c r="V690" s="78"/>
    </row>
    <row r="691" ht="15.75" customHeight="1">
      <c r="P691" s="78"/>
      <c r="Q691" s="78"/>
      <c r="R691" s="78"/>
      <c r="S691" s="78"/>
      <c r="T691" s="78"/>
      <c r="U691" s="78"/>
      <c r="V691" s="78"/>
    </row>
    <row r="692" ht="15.75" customHeight="1">
      <c r="P692" s="78"/>
      <c r="Q692" s="78"/>
      <c r="R692" s="78"/>
      <c r="S692" s="78"/>
      <c r="T692" s="78"/>
      <c r="U692" s="78"/>
      <c r="V692" s="78"/>
    </row>
    <row r="693" ht="15.75" customHeight="1">
      <c r="P693" s="78"/>
      <c r="Q693" s="78"/>
      <c r="R693" s="78"/>
      <c r="S693" s="78"/>
      <c r="T693" s="78"/>
      <c r="U693" s="78"/>
      <c r="V693" s="78"/>
    </row>
    <row r="694" ht="15.75" customHeight="1">
      <c r="P694" s="78"/>
      <c r="Q694" s="78"/>
      <c r="R694" s="78"/>
      <c r="S694" s="78"/>
      <c r="T694" s="78"/>
      <c r="U694" s="78"/>
      <c r="V694" s="78"/>
    </row>
    <row r="695" ht="15.75" customHeight="1">
      <c r="P695" s="78"/>
      <c r="Q695" s="78"/>
      <c r="R695" s="78"/>
      <c r="S695" s="78"/>
      <c r="T695" s="78"/>
      <c r="U695" s="78"/>
      <c r="V695" s="78"/>
    </row>
    <row r="696" ht="15.75" customHeight="1">
      <c r="P696" s="78"/>
      <c r="Q696" s="78"/>
      <c r="R696" s="78"/>
      <c r="S696" s="78"/>
      <c r="T696" s="78"/>
      <c r="U696" s="78"/>
      <c r="V696" s="78"/>
    </row>
    <row r="697" ht="15.75" customHeight="1">
      <c r="P697" s="78"/>
      <c r="Q697" s="78"/>
      <c r="R697" s="78"/>
      <c r="S697" s="78"/>
      <c r="T697" s="78"/>
      <c r="U697" s="78"/>
      <c r="V697" s="78"/>
    </row>
    <row r="698" ht="15.75" customHeight="1">
      <c r="P698" s="78"/>
      <c r="Q698" s="78"/>
      <c r="R698" s="78"/>
      <c r="S698" s="78"/>
      <c r="T698" s="78"/>
      <c r="U698" s="78"/>
      <c r="V698" s="78"/>
    </row>
    <row r="699" ht="15.75" customHeight="1">
      <c r="P699" s="78"/>
      <c r="Q699" s="78"/>
      <c r="R699" s="78"/>
      <c r="S699" s="78"/>
      <c r="T699" s="78"/>
      <c r="U699" s="78"/>
      <c r="V699" s="78"/>
    </row>
    <row r="700" ht="15.75" customHeight="1">
      <c r="P700" s="78"/>
      <c r="Q700" s="78"/>
      <c r="R700" s="78"/>
      <c r="S700" s="78"/>
      <c r="T700" s="78"/>
      <c r="U700" s="78"/>
      <c r="V700" s="78"/>
    </row>
    <row r="701" ht="15.75" customHeight="1">
      <c r="P701" s="78"/>
      <c r="Q701" s="78"/>
      <c r="R701" s="78"/>
      <c r="S701" s="78"/>
      <c r="T701" s="78"/>
      <c r="U701" s="78"/>
      <c r="V701" s="78"/>
    </row>
    <row r="702" ht="15.75" customHeight="1">
      <c r="P702" s="78"/>
      <c r="Q702" s="78"/>
      <c r="R702" s="78"/>
      <c r="S702" s="78"/>
      <c r="T702" s="78"/>
      <c r="U702" s="78"/>
      <c r="V702" s="78"/>
    </row>
    <row r="703" ht="15.75" customHeight="1">
      <c r="P703" s="78"/>
      <c r="Q703" s="78"/>
      <c r="R703" s="78"/>
      <c r="S703" s="78"/>
      <c r="T703" s="78"/>
      <c r="U703" s="78"/>
      <c r="V703" s="78"/>
    </row>
    <row r="704" ht="15.75" customHeight="1">
      <c r="P704" s="78"/>
      <c r="Q704" s="78"/>
      <c r="R704" s="78"/>
      <c r="S704" s="78"/>
      <c r="T704" s="78"/>
      <c r="U704" s="78"/>
      <c r="V704" s="78"/>
    </row>
    <row r="705" ht="15.75" customHeight="1">
      <c r="P705" s="78"/>
      <c r="Q705" s="78"/>
      <c r="R705" s="78"/>
      <c r="S705" s="78"/>
      <c r="T705" s="78"/>
      <c r="U705" s="78"/>
      <c r="V705" s="78"/>
    </row>
    <row r="706" ht="15.75" customHeight="1">
      <c r="P706" s="78"/>
      <c r="Q706" s="78"/>
      <c r="R706" s="78"/>
      <c r="S706" s="78"/>
      <c r="T706" s="78"/>
      <c r="U706" s="78"/>
      <c r="V706" s="78"/>
    </row>
    <row r="707" ht="15.75" customHeight="1">
      <c r="P707" s="78"/>
      <c r="Q707" s="78"/>
      <c r="R707" s="78"/>
      <c r="S707" s="78"/>
      <c r="T707" s="78"/>
      <c r="U707" s="78"/>
      <c r="V707" s="78"/>
    </row>
    <row r="708" ht="15.75" customHeight="1">
      <c r="P708" s="78"/>
      <c r="Q708" s="78"/>
      <c r="R708" s="78"/>
      <c r="S708" s="78"/>
      <c r="T708" s="78"/>
      <c r="U708" s="78"/>
      <c r="V708" s="78"/>
    </row>
    <row r="709" ht="15.75" customHeight="1">
      <c r="P709" s="78"/>
      <c r="Q709" s="78"/>
      <c r="R709" s="78"/>
      <c r="S709" s="78"/>
      <c r="T709" s="78"/>
      <c r="U709" s="78"/>
      <c r="V709" s="78"/>
    </row>
    <row r="710" ht="15.75" customHeight="1">
      <c r="P710" s="78"/>
      <c r="Q710" s="78"/>
      <c r="R710" s="78"/>
      <c r="S710" s="78"/>
      <c r="T710" s="78"/>
      <c r="U710" s="78"/>
      <c r="V710" s="78"/>
    </row>
    <row r="711" ht="15.75" customHeight="1">
      <c r="P711" s="78"/>
      <c r="Q711" s="78"/>
      <c r="R711" s="78"/>
      <c r="S711" s="78"/>
      <c r="T711" s="78"/>
      <c r="U711" s="78"/>
      <c r="V711" s="78"/>
    </row>
    <row r="712" ht="15.75" customHeight="1">
      <c r="P712" s="78"/>
      <c r="Q712" s="78"/>
      <c r="R712" s="78"/>
      <c r="S712" s="78"/>
      <c r="T712" s="78"/>
      <c r="U712" s="78"/>
      <c r="V712" s="78"/>
    </row>
    <row r="713" ht="15.75" customHeight="1">
      <c r="P713" s="78"/>
      <c r="Q713" s="78"/>
      <c r="R713" s="78"/>
      <c r="S713" s="78"/>
      <c r="T713" s="78"/>
      <c r="U713" s="78"/>
      <c r="V713" s="78"/>
    </row>
    <row r="714" ht="15.75" customHeight="1">
      <c r="P714" s="78"/>
      <c r="Q714" s="78"/>
      <c r="R714" s="78"/>
      <c r="S714" s="78"/>
      <c r="T714" s="78"/>
      <c r="U714" s="78"/>
      <c r="V714" s="78"/>
    </row>
    <row r="715" ht="15.75" customHeight="1">
      <c r="P715" s="78"/>
      <c r="Q715" s="78"/>
      <c r="R715" s="78"/>
      <c r="S715" s="78"/>
      <c r="T715" s="78"/>
      <c r="U715" s="78"/>
      <c r="V715" s="78"/>
    </row>
    <row r="716" ht="15.75" customHeight="1">
      <c r="P716" s="78"/>
      <c r="Q716" s="78"/>
      <c r="R716" s="78"/>
      <c r="S716" s="78"/>
      <c r="T716" s="78"/>
      <c r="U716" s="78"/>
      <c r="V716" s="78"/>
    </row>
    <row r="717" ht="15.75" customHeight="1">
      <c r="P717" s="78"/>
      <c r="Q717" s="78"/>
      <c r="R717" s="78"/>
      <c r="S717" s="78"/>
      <c r="T717" s="78"/>
      <c r="U717" s="78"/>
      <c r="V717" s="78"/>
    </row>
    <row r="718" ht="15.75" customHeight="1">
      <c r="P718" s="78"/>
      <c r="Q718" s="78"/>
      <c r="R718" s="78"/>
      <c r="S718" s="78"/>
      <c r="T718" s="78"/>
      <c r="U718" s="78"/>
      <c r="V718" s="78"/>
    </row>
    <row r="719" ht="15.75" customHeight="1">
      <c r="P719" s="78"/>
      <c r="Q719" s="78"/>
      <c r="R719" s="78"/>
      <c r="S719" s="78"/>
      <c r="T719" s="78"/>
      <c r="U719" s="78"/>
      <c r="V719" s="78"/>
    </row>
    <row r="720" ht="15.75" customHeight="1">
      <c r="P720" s="78"/>
      <c r="Q720" s="78"/>
      <c r="R720" s="78"/>
      <c r="S720" s="78"/>
      <c r="T720" s="78"/>
      <c r="U720" s="78"/>
      <c r="V720" s="78"/>
    </row>
    <row r="721" ht="15.75" customHeight="1">
      <c r="P721" s="78"/>
      <c r="Q721" s="78"/>
      <c r="R721" s="78"/>
      <c r="S721" s="78"/>
      <c r="T721" s="78"/>
      <c r="U721" s="78"/>
      <c r="V721" s="78"/>
    </row>
    <row r="722" ht="15.75" customHeight="1">
      <c r="P722" s="78"/>
      <c r="Q722" s="78"/>
      <c r="R722" s="78"/>
      <c r="S722" s="78"/>
      <c r="T722" s="78"/>
      <c r="U722" s="78"/>
      <c r="V722" s="78"/>
    </row>
    <row r="723" ht="15.75" customHeight="1">
      <c r="P723" s="78"/>
      <c r="Q723" s="78"/>
      <c r="R723" s="78"/>
      <c r="S723" s="78"/>
      <c r="T723" s="78"/>
      <c r="U723" s="78"/>
      <c r="V723" s="78"/>
    </row>
    <row r="724" ht="15.75" customHeight="1">
      <c r="P724" s="78"/>
      <c r="Q724" s="78"/>
      <c r="R724" s="78"/>
      <c r="S724" s="78"/>
      <c r="T724" s="78"/>
      <c r="U724" s="78"/>
      <c r="V724" s="78"/>
    </row>
    <row r="725" ht="15.75" customHeight="1">
      <c r="P725" s="78"/>
      <c r="Q725" s="78"/>
      <c r="R725" s="78"/>
      <c r="S725" s="78"/>
      <c r="T725" s="78"/>
      <c r="U725" s="78"/>
      <c r="V725" s="78"/>
    </row>
    <row r="726" ht="15.75" customHeight="1">
      <c r="P726" s="78"/>
      <c r="Q726" s="78"/>
      <c r="R726" s="78"/>
      <c r="S726" s="78"/>
      <c r="T726" s="78"/>
      <c r="U726" s="78"/>
      <c r="V726" s="78"/>
    </row>
    <row r="727" ht="15.75" customHeight="1">
      <c r="P727" s="78"/>
      <c r="Q727" s="78"/>
      <c r="R727" s="78"/>
      <c r="S727" s="78"/>
      <c r="T727" s="78"/>
      <c r="U727" s="78"/>
      <c r="V727" s="78"/>
    </row>
    <row r="728" ht="15.75" customHeight="1">
      <c r="P728" s="78"/>
      <c r="Q728" s="78"/>
      <c r="R728" s="78"/>
      <c r="S728" s="78"/>
      <c r="T728" s="78"/>
      <c r="U728" s="78"/>
      <c r="V728" s="78"/>
    </row>
    <row r="729" ht="15.75" customHeight="1">
      <c r="P729" s="78"/>
      <c r="Q729" s="78"/>
      <c r="R729" s="78"/>
      <c r="S729" s="78"/>
      <c r="T729" s="78"/>
      <c r="U729" s="78"/>
      <c r="V729" s="78"/>
    </row>
    <row r="730" ht="15.75" customHeight="1">
      <c r="P730" s="78"/>
      <c r="Q730" s="78"/>
      <c r="R730" s="78"/>
      <c r="S730" s="78"/>
      <c r="T730" s="78"/>
      <c r="U730" s="78"/>
      <c r="V730" s="78"/>
    </row>
    <row r="731" ht="15.75" customHeight="1">
      <c r="P731" s="78"/>
      <c r="Q731" s="78"/>
      <c r="R731" s="78"/>
      <c r="S731" s="78"/>
      <c r="T731" s="78"/>
      <c r="U731" s="78"/>
      <c r="V731" s="78"/>
    </row>
    <row r="732" ht="15.75" customHeight="1">
      <c r="P732" s="78"/>
      <c r="Q732" s="78"/>
      <c r="R732" s="78"/>
      <c r="S732" s="78"/>
      <c r="T732" s="78"/>
      <c r="U732" s="78"/>
      <c r="V732" s="78"/>
    </row>
    <row r="733" ht="15.75" customHeight="1">
      <c r="P733" s="78"/>
      <c r="Q733" s="78"/>
      <c r="R733" s="78"/>
      <c r="S733" s="78"/>
      <c r="T733" s="78"/>
      <c r="U733" s="78"/>
      <c r="V733" s="78"/>
    </row>
    <row r="734" ht="15.75" customHeight="1">
      <c r="P734" s="78"/>
      <c r="Q734" s="78"/>
      <c r="R734" s="78"/>
      <c r="S734" s="78"/>
      <c r="T734" s="78"/>
      <c r="U734" s="78"/>
      <c r="V734" s="78"/>
    </row>
    <row r="735" ht="15.75" customHeight="1">
      <c r="P735" s="78"/>
      <c r="Q735" s="78"/>
      <c r="R735" s="78"/>
      <c r="S735" s="78"/>
      <c r="T735" s="78"/>
      <c r="U735" s="78"/>
      <c r="V735" s="78"/>
    </row>
    <row r="736" ht="15.75" customHeight="1">
      <c r="P736" s="78"/>
      <c r="Q736" s="78"/>
      <c r="R736" s="78"/>
      <c r="S736" s="78"/>
      <c r="T736" s="78"/>
      <c r="U736" s="78"/>
      <c r="V736" s="78"/>
    </row>
    <row r="737" ht="15.75" customHeight="1">
      <c r="P737" s="78"/>
      <c r="Q737" s="78"/>
      <c r="R737" s="78"/>
      <c r="S737" s="78"/>
      <c r="T737" s="78"/>
      <c r="U737" s="78"/>
      <c r="V737" s="78"/>
    </row>
    <row r="738" ht="15.75" customHeight="1">
      <c r="P738" s="78"/>
      <c r="Q738" s="78"/>
      <c r="R738" s="78"/>
      <c r="S738" s="78"/>
      <c r="T738" s="78"/>
      <c r="U738" s="78"/>
      <c r="V738" s="78"/>
    </row>
    <row r="739" ht="15.75" customHeight="1">
      <c r="P739" s="78"/>
      <c r="Q739" s="78"/>
      <c r="R739" s="78"/>
      <c r="S739" s="78"/>
      <c r="T739" s="78"/>
      <c r="U739" s="78"/>
      <c r="V739" s="78"/>
    </row>
    <row r="740" ht="15.75" customHeight="1">
      <c r="P740" s="78"/>
      <c r="Q740" s="78"/>
      <c r="R740" s="78"/>
      <c r="S740" s="78"/>
      <c r="T740" s="78"/>
      <c r="U740" s="78"/>
      <c r="V740" s="78"/>
    </row>
    <row r="741" ht="15.75" customHeight="1">
      <c r="P741" s="78"/>
      <c r="Q741" s="78"/>
      <c r="R741" s="78"/>
      <c r="S741" s="78"/>
      <c r="T741" s="78"/>
      <c r="U741" s="78"/>
      <c r="V741" s="78"/>
    </row>
    <row r="742" ht="15.75" customHeight="1">
      <c r="P742" s="78"/>
      <c r="Q742" s="78"/>
      <c r="R742" s="78"/>
      <c r="S742" s="78"/>
      <c r="T742" s="78"/>
      <c r="U742" s="78"/>
      <c r="V742" s="78"/>
    </row>
    <row r="743" ht="15.75" customHeight="1">
      <c r="P743" s="78"/>
      <c r="Q743" s="78"/>
      <c r="R743" s="78"/>
      <c r="S743" s="78"/>
      <c r="T743" s="78"/>
      <c r="U743" s="78"/>
      <c r="V743" s="78"/>
    </row>
    <row r="744" ht="15.75" customHeight="1">
      <c r="P744" s="78"/>
      <c r="Q744" s="78"/>
      <c r="R744" s="78"/>
      <c r="S744" s="78"/>
      <c r="T744" s="78"/>
      <c r="U744" s="78"/>
      <c r="V744" s="78"/>
    </row>
    <row r="745" ht="15.75" customHeight="1">
      <c r="P745" s="78"/>
      <c r="Q745" s="78"/>
      <c r="R745" s="78"/>
      <c r="S745" s="78"/>
      <c r="T745" s="78"/>
      <c r="U745" s="78"/>
      <c r="V745" s="78"/>
    </row>
    <row r="746" ht="15.75" customHeight="1">
      <c r="P746" s="78"/>
      <c r="Q746" s="78"/>
      <c r="R746" s="78"/>
      <c r="S746" s="78"/>
      <c r="T746" s="78"/>
      <c r="U746" s="78"/>
      <c r="V746" s="78"/>
    </row>
    <row r="747" ht="15.75" customHeight="1">
      <c r="P747" s="78"/>
      <c r="Q747" s="78"/>
      <c r="R747" s="78"/>
      <c r="S747" s="78"/>
      <c r="T747" s="78"/>
      <c r="U747" s="78"/>
      <c r="V747" s="78"/>
    </row>
    <row r="748" ht="15.75" customHeight="1">
      <c r="P748" s="78"/>
      <c r="Q748" s="78"/>
      <c r="R748" s="78"/>
      <c r="S748" s="78"/>
      <c r="T748" s="78"/>
      <c r="U748" s="78"/>
      <c r="V748" s="78"/>
    </row>
    <row r="749" ht="15.75" customHeight="1">
      <c r="P749" s="78"/>
      <c r="Q749" s="78"/>
      <c r="R749" s="78"/>
      <c r="S749" s="78"/>
      <c r="T749" s="78"/>
      <c r="U749" s="78"/>
      <c r="V749" s="78"/>
    </row>
    <row r="750" ht="15.75" customHeight="1">
      <c r="P750" s="78"/>
      <c r="Q750" s="78"/>
      <c r="R750" s="78"/>
      <c r="S750" s="78"/>
      <c r="T750" s="78"/>
      <c r="U750" s="78"/>
      <c r="V750" s="78"/>
    </row>
    <row r="751" ht="15.75" customHeight="1">
      <c r="P751" s="78"/>
      <c r="Q751" s="78"/>
      <c r="R751" s="78"/>
      <c r="S751" s="78"/>
      <c r="T751" s="78"/>
      <c r="U751" s="78"/>
      <c r="V751" s="78"/>
    </row>
    <row r="752" ht="15.75" customHeight="1">
      <c r="P752" s="78"/>
      <c r="Q752" s="78"/>
      <c r="R752" s="78"/>
      <c r="S752" s="78"/>
      <c r="T752" s="78"/>
      <c r="U752" s="78"/>
      <c r="V752" s="78"/>
    </row>
    <row r="753" ht="15.75" customHeight="1">
      <c r="P753" s="78"/>
      <c r="Q753" s="78"/>
      <c r="R753" s="78"/>
      <c r="S753" s="78"/>
      <c r="T753" s="78"/>
      <c r="U753" s="78"/>
      <c r="V753" s="78"/>
    </row>
    <row r="754" ht="15.75" customHeight="1">
      <c r="P754" s="78"/>
      <c r="Q754" s="78"/>
      <c r="R754" s="78"/>
      <c r="S754" s="78"/>
      <c r="T754" s="78"/>
      <c r="U754" s="78"/>
      <c r="V754" s="78"/>
    </row>
    <row r="755" ht="15.75" customHeight="1">
      <c r="P755" s="78"/>
      <c r="Q755" s="78"/>
      <c r="R755" s="78"/>
      <c r="S755" s="78"/>
      <c r="T755" s="78"/>
      <c r="U755" s="78"/>
      <c r="V755" s="78"/>
    </row>
    <row r="756" ht="15.75" customHeight="1">
      <c r="P756" s="78"/>
      <c r="Q756" s="78"/>
      <c r="R756" s="78"/>
      <c r="S756" s="78"/>
      <c r="T756" s="78"/>
      <c r="U756" s="78"/>
      <c r="V756" s="78"/>
    </row>
    <row r="757" ht="15.75" customHeight="1">
      <c r="P757" s="78"/>
      <c r="Q757" s="78"/>
      <c r="R757" s="78"/>
      <c r="S757" s="78"/>
      <c r="T757" s="78"/>
      <c r="U757" s="78"/>
      <c r="V757" s="78"/>
    </row>
    <row r="758" ht="15.75" customHeight="1">
      <c r="P758" s="78"/>
      <c r="Q758" s="78"/>
      <c r="R758" s="78"/>
      <c r="S758" s="78"/>
      <c r="T758" s="78"/>
      <c r="U758" s="78"/>
      <c r="V758" s="78"/>
    </row>
    <row r="759" ht="15.75" customHeight="1">
      <c r="P759" s="78"/>
      <c r="Q759" s="78"/>
      <c r="R759" s="78"/>
      <c r="S759" s="78"/>
      <c r="T759" s="78"/>
      <c r="U759" s="78"/>
      <c r="V759" s="78"/>
    </row>
    <row r="760" ht="15.75" customHeight="1">
      <c r="P760" s="78"/>
      <c r="Q760" s="78"/>
      <c r="R760" s="78"/>
      <c r="S760" s="78"/>
      <c r="T760" s="78"/>
      <c r="U760" s="78"/>
      <c r="V760" s="78"/>
    </row>
    <row r="761" ht="15.75" customHeight="1">
      <c r="P761" s="78"/>
      <c r="Q761" s="78"/>
      <c r="R761" s="78"/>
      <c r="S761" s="78"/>
      <c r="T761" s="78"/>
      <c r="U761" s="78"/>
      <c r="V761" s="78"/>
    </row>
    <row r="762" ht="15.75" customHeight="1">
      <c r="P762" s="78"/>
      <c r="Q762" s="78"/>
      <c r="R762" s="78"/>
      <c r="S762" s="78"/>
      <c r="T762" s="78"/>
      <c r="U762" s="78"/>
      <c r="V762" s="78"/>
    </row>
    <row r="763" ht="15.75" customHeight="1">
      <c r="P763" s="78"/>
      <c r="Q763" s="78"/>
      <c r="R763" s="78"/>
      <c r="S763" s="78"/>
      <c r="T763" s="78"/>
      <c r="U763" s="78"/>
      <c r="V763" s="78"/>
    </row>
    <row r="764" ht="15.75" customHeight="1">
      <c r="P764" s="78"/>
      <c r="Q764" s="78"/>
      <c r="R764" s="78"/>
      <c r="S764" s="78"/>
      <c r="T764" s="78"/>
      <c r="U764" s="78"/>
      <c r="V764" s="78"/>
    </row>
    <row r="765" ht="15.75" customHeight="1">
      <c r="P765" s="78"/>
      <c r="Q765" s="78"/>
      <c r="R765" s="78"/>
      <c r="S765" s="78"/>
      <c r="T765" s="78"/>
      <c r="U765" s="78"/>
      <c r="V765" s="78"/>
    </row>
    <row r="766" ht="15.75" customHeight="1">
      <c r="P766" s="78"/>
      <c r="Q766" s="78"/>
      <c r="R766" s="78"/>
      <c r="S766" s="78"/>
      <c r="T766" s="78"/>
      <c r="U766" s="78"/>
      <c r="V766" s="78"/>
    </row>
    <row r="767" ht="15.75" customHeight="1">
      <c r="P767" s="78"/>
      <c r="Q767" s="78"/>
      <c r="R767" s="78"/>
      <c r="S767" s="78"/>
      <c r="T767" s="78"/>
      <c r="U767" s="78"/>
      <c r="V767" s="78"/>
    </row>
    <row r="768" ht="15.75" customHeight="1">
      <c r="P768" s="78"/>
      <c r="Q768" s="78"/>
      <c r="R768" s="78"/>
      <c r="S768" s="78"/>
      <c r="T768" s="78"/>
      <c r="U768" s="78"/>
      <c r="V768" s="78"/>
    </row>
    <row r="769" ht="15.75" customHeight="1">
      <c r="P769" s="78"/>
      <c r="Q769" s="78"/>
      <c r="R769" s="78"/>
      <c r="S769" s="78"/>
      <c r="T769" s="78"/>
      <c r="U769" s="78"/>
      <c r="V769" s="78"/>
    </row>
    <row r="770" ht="15.75" customHeight="1">
      <c r="P770" s="78"/>
      <c r="Q770" s="78"/>
      <c r="R770" s="78"/>
      <c r="S770" s="78"/>
      <c r="T770" s="78"/>
      <c r="U770" s="78"/>
      <c r="V770" s="78"/>
    </row>
    <row r="771" ht="15.75" customHeight="1">
      <c r="P771" s="78"/>
      <c r="Q771" s="78"/>
      <c r="R771" s="78"/>
      <c r="S771" s="78"/>
      <c r="T771" s="78"/>
      <c r="U771" s="78"/>
      <c r="V771" s="78"/>
    </row>
    <row r="772" ht="15.75" customHeight="1">
      <c r="P772" s="78"/>
      <c r="Q772" s="78"/>
      <c r="R772" s="78"/>
      <c r="S772" s="78"/>
      <c r="T772" s="78"/>
      <c r="U772" s="78"/>
      <c r="V772" s="78"/>
    </row>
    <row r="773" ht="15.75" customHeight="1">
      <c r="P773" s="78"/>
      <c r="Q773" s="78"/>
      <c r="R773" s="78"/>
      <c r="S773" s="78"/>
      <c r="T773" s="78"/>
      <c r="U773" s="78"/>
      <c r="V773" s="78"/>
    </row>
    <row r="774" ht="15.75" customHeight="1">
      <c r="P774" s="78"/>
      <c r="Q774" s="78"/>
      <c r="R774" s="78"/>
      <c r="S774" s="78"/>
      <c r="T774" s="78"/>
      <c r="U774" s="78"/>
      <c r="V774" s="78"/>
    </row>
    <row r="775" ht="15.75" customHeight="1">
      <c r="P775" s="78"/>
      <c r="Q775" s="78"/>
      <c r="R775" s="78"/>
      <c r="S775" s="78"/>
      <c r="T775" s="78"/>
      <c r="U775" s="78"/>
      <c r="V775" s="78"/>
    </row>
    <row r="776" ht="15.75" customHeight="1">
      <c r="P776" s="78"/>
      <c r="Q776" s="78"/>
      <c r="R776" s="78"/>
      <c r="S776" s="78"/>
      <c r="T776" s="78"/>
      <c r="U776" s="78"/>
      <c r="V776" s="78"/>
    </row>
    <row r="777" ht="15.75" customHeight="1">
      <c r="P777" s="78"/>
      <c r="Q777" s="78"/>
      <c r="R777" s="78"/>
      <c r="S777" s="78"/>
      <c r="T777" s="78"/>
      <c r="U777" s="78"/>
      <c r="V777" s="78"/>
    </row>
    <row r="778" ht="15.75" customHeight="1">
      <c r="P778" s="78"/>
      <c r="Q778" s="78"/>
      <c r="R778" s="78"/>
      <c r="S778" s="78"/>
      <c r="T778" s="78"/>
      <c r="U778" s="78"/>
      <c r="V778" s="78"/>
    </row>
    <row r="779" ht="15.75" customHeight="1">
      <c r="P779" s="78"/>
      <c r="Q779" s="78"/>
      <c r="R779" s="78"/>
      <c r="S779" s="78"/>
      <c r="T779" s="78"/>
      <c r="U779" s="78"/>
      <c r="V779" s="78"/>
    </row>
    <row r="780" ht="15.75" customHeight="1">
      <c r="P780" s="78"/>
      <c r="Q780" s="78"/>
      <c r="R780" s="78"/>
      <c r="S780" s="78"/>
      <c r="T780" s="78"/>
      <c r="U780" s="78"/>
      <c r="V780" s="78"/>
    </row>
    <row r="781" ht="15.75" customHeight="1">
      <c r="P781" s="78"/>
      <c r="Q781" s="78"/>
      <c r="R781" s="78"/>
      <c r="S781" s="78"/>
      <c r="T781" s="78"/>
      <c r="U781" s="78"/>
      <c r="V781" s="78"/>
    </row>
    <row r="782" ht="15.75" customHeight="1">
      <c r="P782" s="78"/>
      <c r="Q782" s="78"/>
      <c r="R782" s="78"/>
      <c r="S782" s="78"/>
      <c r="T782" s="78"/>
      <c r="U782" s="78"/>
      <c r="V782" s="78"/>
    </row>
    <row r="783" ht="15.75" customHeight="1">
      <c r="P783" s="78"/>
      <c r="Q783" s="78"/>
      <c r="R783" s="78"/>
      <c r="S783" s="78"/>
      <c r="T783" s="78"/>
      <c r="U783" s="78"/>
      <c r="V783" s="78"/>
    </row>
    <row r="784" ht="15.75" customHeight="1">
      <c r="P784" s="78"/>
      <c r="Q784" s="78"/>
      <c r="R784" s="78"/>
      <c r="S784" s="78"/>
      <c r="T784" s="78"/>
      <c r="U784" s="78"/>
      <c r="V784" s="78"/>
    </row>
    <row r="785" ht="15.75" customHeight="1">
      <c r="P785" s="78"/>
      <c r="Q785" s="78"/>
      <c r="R785" s="78"/>
      <c r="S785" s="78"/>
      <c r="T785" s="78"/>
      <c r="U785" s="78"/>
      <c r="V785" s="78"/>
    </row>
    <row r="786" ht="15.75" customHeight="1">
      <c r="P786" s="78"/>
      <c r="Q786" s="78"/>
      <c r="R786" s="78"/>
      <c r="S786" s="78"/>
      <c r="T786" s="78"/>
      <c r="U786" s="78"/>
      <c r="V786" s="78"/>
    </row>
    <row r="787" ht="15.75" customHeight="1">
      <c r="P787" s="78"/>
      <c r="Q787" s="78"/>
      <c r="R787" s="78"/>
      <c r="S787" s="78"/>
      <c r="T787" s="78"/>
      <c r="U787" s="78"/>
      <c r="V787" s="78"/>
    </row>
    <row r="788" ht="15.75" customHeight="1">
      <c r="P788" s="78"/>
      <c r="Q788" s="78"/>
      <c r="R788" s="78"/>
      <c r="S788" s="78"/>
      <c r="T788" s="78"/>
      <c r="U788" s="78"/>
      <c r="V788" s="78"/>
    </row>
    <row r="789" ht="15.75" customHeight="1">
      <c r="P789" s="78"/>
      <c r="Q789" s="78"/>
      <c r="R789" s="78"/>
      <c r="S789" s="78"/>
      <c r="T789" s="78"/>
      <c r="U789" s="78"/>
      <c r="V789" s="78"/>
    </row>
    <row r="790" ht="15.75" customHeight="1">
      <c r="P790" s="78"/>
      <c r="Q790" s="78"/>
      <c r="R790" s="78"/>
      <c r="S790" s="78"/>
      <c r="T790" s="78"/>
      <c r="U790" s="78"/>
      <c r="V790" s="78"/>
    </row>
    <row r="791" ht="15.75" customHeight="1">
      <c r="P791" s="78"/>
      <c r="Q791" s="78"/>
      <c r="R791" s="78"/>
      <c r="S791" s="78"/>
      <c r="T791" s="78"/>
      <c r="U791" s="78"/>
      <c r="V791" s="78"/>
    </row>
    <row r="792" ht="15.75" customHeight="1">
      <c r="P792" s="78"/>
      <c r="Q792" s="78"/>
      <c r="R792" s="78"/>
      <c r="S792" s="78"/>
      <c r="T792" s="78"/>
      <c r="U792" s="78"/>
      <c r="V792" s="78"/>
    </row>
    <row r="793" ht="15.75" customHeight="1">
      <c r="P793" s="78"/>
      <c r="Q793" s="78"/>
      <c r="R793" s="78"/>
      <c r="S793" s="78"/>
      <c r="T793" s="78"/>
      <c r="U793" s="78"/>
      <c r="V793" s="78"/>
    </row>
    <row r="794" ht="15.75" customHeight="1">
      <c r="P794" s="78"/>
      <c r="Q794" s="78"/>
      <c r="R794" s="78"/>
      <c r="S794" s="78"/>
      <c r="T794" s="78"/>
      <c r="U794" s="78"/>
      <c r="V794" s="78"/>
    </row>
    <row r="795" ht="15.75" customHeight="1">
      <c r="P795" s="78"/>
      <c r="Q795" s="78"/>
      <c r="R795" s="78"/>
      <c r="S795" s="78"/>
      <c r="T795" s="78"/>
      <c r="U795" s="78"/>
      <c r="V795" s="78"/>
    </row>
    <row r="796" ht="15.75" customHeight="1">
      <c r="P796" s="78"/>
      <c r="Q796" s="78"/>
      <c r="R796" s="78"/>
      <c r="S796" s="78"/>
      <c r="T796" s="78"/>
      <c r="U796" s="78"/>
      <c r="V796" s="78"/>
    </row>
    <row r="797" ht="15.75" customHeight="1">
      <c r="P797" s="78"/>
      <c r="Q797" s="78"/>
      <c r="R797" s="78"/>
      <c r="S797" s="78"/>
      <c r="T797" s="78"/>
      <c r="U797" s="78"/>
      <c r="V797" s="78"/>
    </row>
    <row r="798" ht="15.75" customHeight="1">
      <c r="P798" s="78"/>
      <c r="Q798" s="78"/>
      <c r="R798" s="78"/>
      <c r="S798" s="78"/>
      <c r="T798" s="78"/>
      <c r="U798" s="78"/>
      <c r="V798" s="78"/>
    </row>
    <row r="799" ht="15.75" customHeight="1">
      <c r="P799" s="78"/>
      <c r="Q799" s="78"/>
      <c r="R799" s="78"/>
      <c r="S799" s="78"/>
      <c r="T799" s="78"/>
      <c r="U799" s="78"/>
      <c r="V799" s="78"/>
    </row>
    <row r="800" ht="15.75" customHeight="1">
      <c r="P800" s="78"/>
      <c r="Q800" s="78"/>
      <c r="R800" s="78"/>
      <c r="S800" s="78"/>
      <c r="T800" s="78"/>
      <c r="U800" s="78"/>
      <c r="V800" s="78"/>
    </row>
    <row r="801" ht="15.75" customHeight="1">
      <c r="P801" s="78"/>
      <c r="Q801" s="78"/>
      <c r="R801" s="78"/>
      <c r="S801" s="78"/>
      <c r="T801" s="78"/>
      <c r="U801" s="78"/>
      <c r="V801" s="78"/>
    </row>
    <row r="802" ht="15.75" customHeight="1">
      <c r="P802" s="78"/>
      <c r="Q802" s="78"/>
      <c r="R802" s="78"/>
      <c r="S802" s="78"/>
      <c r="T802" s="78"/>
      <c r="U802" s="78"/>
      <c r="V802" s="78"/>
    </row>
    <row r="803" ht="15.75" customHeight="1">
      <c r="P803" s="78"/>
      <c r="Q803" s="78"/>
      <c r="R803" s="78"/>
      <c r="S803" s="78"/>
      <c r="T803" s="78"/>
      <c r="U803" s="78"/>
      <c r="V803" s="78"/>
    </row>
    <row r="804" ht="15.75" customHeight="1">
      <c r="P804" s="78"/>
      <c r="Q804" s="78"/>
      <c r="R804" s="78"/>
      <c r="S804" s="78"/>
      <c r="T804" s="78"/>
      <c r="U804" s="78"/>
      <c r="V804" s="78"/>
    </row>
    <row r="805" ht="15.75" customHeight="1">
      <c r="P805" s="78"/>
      <c r="Q805" s="78"/>
      <c r="R805" s="78"/>
      <c r="S805" s="78"/>
      <c r="T805" s="78"/>
      <c r="U805" s="78"/>
      <c r="V805" s="78"/>
    </row>
    <row r="806" ht="15.75" customHeight="1">
      <c r="P806" s="78"/>
      <c r="Q806" s="78"/>
      <c r="R806" s="78"/>
      <c r="S806" s="78"/>
      <c r="T806" s="78"/>
      <c r="U806" s="78"/>
      <c r="V806" s="78"/>
    </row>
    <row r="807" ht="15.75" customHeight="1">
      <c r="P807" s="78"/>
      <c r="Q807" s="78"/>
      <c r="R807" s="78"/>
      <c r="S807" s="78"/>
      <c r="T807" s="78"/>
      <c r="U807" s="78"/>
      <c r="V807" s="78"/>
    </row>
    <row r="808" ht="15.75" customHeight="1">
      <c r="P808" s="78"/>
      <c r="Q808" s="78"/>
      <c r="R808" s="78"/>
      <c r="S808" s="78"/>
      <c r="T808" s="78"/>
      <c r="U808" s="78"/>
      <c r="V808" s="78"/>
    </row>
    <row r="809" ht="15.75" customHeight="1">
      <c r="P809" s="78"/>
      <c r="Q809" s="78"/>
      <c r="R809" s="78"/>
      <c r="S809" s="78"/>
      <c r="T809" s="78"/>
      <c r="U809" s="78"/>
      <c r="V809" s="78"/>
    </row>
    <row r="810" ht="15.75" customHeight="1">
      <c r="P810" s="78"/>
      <c r="Q810" s="78"/>
      <c r="R810" s="78"/>
      <c r="S810" s="78"/>
      <c r="T810" s="78"/>
      <c r="U810" s="78"/>
      <c r="V810" s="78"/>
    </row>
    <row r="811" ht="15.75" customHeight="1">
      <c r="P811" s="78"/>
      <c r="Q811" s="78"/>
      <c r="R811" s="78"/>
      <c r="S811" s="78"/>
      <c r="T811" s="78"/>
      <c r="U811" s="78"/>
      <c r="V811" s="78"/>
    </row>
    <row r="812" ht="15.75" customHeight="1">
      <c r="P812" s="78"/>
      <c r="Q812" s="78"/>
      <c r="R812" s="78"/>
      <c r="S812" s="78"/>
      <c r="T812" s="78"/>
      <c r="U812" s="78"/>
      <c r="V812" s="78"/>
    </row>
    <row r="813" ht="15.75" customHeight="1">
      <c r="P813" s="78"/>
      <c r="Q813" s="78"/>
      <c r="R813" s="78"/>
      <c r="S813" s="78"/>
      <c r="T813" s="78"/>
      <c r="U813" s="78"/>
      <c r="V813" s="78"/>
    </row>
    <row r="814" ht="15.75" customHeight="1">
      <c r="P814" s="78"/>
      <c r="Q814" s="78"/>
      <c r="R814" s="78"/>
      <c r="S814" s="78"/>
      <c r="T814" s="78"/>
      <c r="U814" s="78"/>
      <c r="V814" s="78"/>
    </row>
    <row r="815" ht="15.75" customHeight="1">
      <c r="P815" s="78"/>
      <c r="Q815" s="78"/>
      <c r="R815" s="78"/>
      <c r="S815" s="78"/>
      <c r="T815" s="78"/>
      <c r="U815" s="78"/>
      <c r="V815" s="78"/>
    </row>
    <row r="816" ht="15.75" customHeight="1">
      <c r="P816" s="78"/>
      <c r="Q816" s="78"/>
      <c r="R816" s="78"/>
      <c r="S816" s="78"/>
      <c r="T816" s="78"/>
      <c r="U816" s="78"/>
      <c r="V816" s="78"/>
    </row>
    <row r="817" ht="15.75" customHeight="1">
      <c r="P817" s="78"/>
      <c r="Q817" s="78"/>
      <c r="R817" s="78"/>
      <c r="S817" s="78"/>
      <c r="T817" s="78"/>
      <c r="U817" s="78"/>
      <c r="V817" s="78"/>
    </row>
    <row r="818" ht="15.75" customHeight="1">
      <c r="P818" s="78"/>
      <c r="Q818" s="78"/>
      <c r="R818" s="78"/>
      <c r="S818" s="78"/>
      <c r="T818" s="78"/>
      <c r="U818" s="78"/>
      <c r="V818" s="78"/>
    </row>
    <row r="819" ht="15.75" customHeight="1">
      <c r="P819" s="78"/>
      <c r="Q819" s="78"/>
      <c r="R819" s="78"/>
      <c r="S819" s="78"/>
      <c r="T819" s="78"/>
      <c r="U819" s="78"/>
      <c r="V819" s="78"/>
    </row>
    <row r="820" ht="15.75" customHeight="1">
      <c r="P820" s="78"/>
      <c r="Q820" s="78"/>
      <c r="R820" s="78"/>
      <c r="S820" s="78"/>
      <c r="T820" s="78"/>
      <c r="U820" s="78"/>
      <c r="V820" s="78"/>
    </row>
    <row r="821" ht="15.75" customHeight="1">
      <c r="P821" s="78"/>
      <c r="Q821" s="78"/>
      <c r="R821" s="78"/>
      <c r="S821" s="78"/>
      <c r="T821" s="78"/>
      <c r="U821" s="78"/>
      <c r="V821" s="78"/>
    </row>
    <row r="822" ht="15.75" customHeight="1">
      <c r="P822" s="78"/>
      <c r="Q822" s="78"/>
      <c r="R822" s="78"/>
      <c r="S822" s="78"/>
      <c r="T822" s="78"/>
      <c r="U822" s="78"/>
      <c r="V822" s="78"/>
    </row>
    <row r="823" ht="15.75" customHeight="1">
      <c r="P823" s="78"/>
      <c r="Q823" s="78"/>
      <c r="R823" s="78"/>
      <c r="S823" s="78"/>
      <c r="T823" s="78"/>
      <c r="U823" s="78"/>
      <c r="V823" s="78"/>
    </row>
    <row r="824" ht="15.75" customHeight="1">
      <c r="P824" s="78"/>
      <c r="Q824" s="78"/>
      <c r="R824" s="78"/>
      <c r="S824" s="78"/>
      <c r="T824" s="78"/>
      <c r="U824" s="78"/>
      <c r="V824" s="78"/>
    </row>
    <row r="825" ht="15.75" customHeight="1">
      <c r="P825" s="78"/>
      <c r="Q825" s="78"/>
      <c r="R825" s="78"/>
      <c r="S825" s="78"/>
      <c r="T825" s="78"/>
      <c r="U825" s="78"/>
      <c r="V825" s="78"/>
    </row>
    <row r="826" ht="15.75" customHeight="1">
      <c r="P826" s="78"/>
      <c r="Q826" s="78"/>
      <c r="R826" s="78"/>
      <c r="S826" s="78"/>
      <c r="T826" s="78"/>
      <c r="U826" s="78"/>
      <c r="V826" s="78"/>
    </row>
    <row r="827" ht="15.75" customHeight="1">
      <c r="P827" s="78"/>
      <c r="Q827" s="78"/>
      <c r="R827" s="78"/>
      <c r="S827" s="78"/>
      <c r="T827" s="78"/>
      <c r="U827" s="78"/>
      <c r="V827" s="78"/>
    </row>
    <row r="828" ht="15.75" customHeight="1">
      <c r="P828" s="78"/>
      <c r="Q828" s="78"/>
      <c r="R828" s="78"/>
      <c r="S828" s="78"/>
      <c r="T828" s="78"/>
      <c r="U828" s="78"/>
      <c r="V828" s="78"/>
    </row>
    <row r="829" ht="15.75" customHeight="1">
      <c r="P829" s="78"/>
      <c r="Q829" s="78"/>
      <c r="R829" s="78"/>
      <c r="S829" s="78"/>
      <c r="T829" s="78"/>
      <c r="U829" s="78"/>
      <c r="V829" s="78"/>
    </row>
    <row r="830" ht="15.75" customHeight="1">
      <c r="P830" s="78"/>
      <c r="Q830" s="78"/>
      <c r="R830" s="78"/>
      <c r="S830" s="78"/>
      <c r="T830" s="78"/>
      <c r="U830" s="78"/>
      <c r="V830" s="78"/>
    </row>
    <row r="831" ht="15.75" customHeight="1">
      <c r="P831" s="78"/>
      <c r="Q831" s="78"/>
      <c r="R831" s="78"/>
      <c r="S831" s="78"/>
      <c r="T831" s="78"/>
      <c r="U831" s="78"/>
      <c r="V831" s="78"/>
    </row>
    <row r="832" ht="15.75" customHeight="1">
      <c r="P832" s="78"/>
      <c r="Q832" s="78"/>
      <c r="R832" s="78"/>
      <c r="S832" s="78"/>
      <c r="T832" s="78"/>
      <c r="U832" s="78"/>
      <c r="V832" s="78"/>
    </row>
    <row r="833" ht="15.75" customHeight="1">
      <c r="P833" s="78"/>
      <c r="Q833" s="78"/>
      <c r="R833" s="78"/>
      <c r="S833" s="78"/>
      <c r="T833" s="78"/>
      <c r="U833" s="78"/>
      <c r="V833" s="78"/>
    </row>
    <row r="834" ht="15.75" customHeight="1">
      <c r="P834" s="78"/>
      <c r="Q834" s="78"/>
      <c r="R834" s="78"/>
      <c r="S834" s="78"/>
      <c r="T834" s="78"/>
      <c r="U834" s="78"/>
      <c r="V834" s="78"/>
    </row>
    <row r="835" ht="15.75" customHeight="1">
      <c r="P835" s="78"/>
      <c r="Q835" s="78"/>
      <c r="R835" s="78"/>
      <c r="S835" s="78"/>
      <c r="T835" s="78"/>
      <c r="U835" s="78"/>
      <c r="V835" s="78"/>
    </row>
    <row r="836" ht="15.75" customHeight="1">
      <c r="P836" s="78"/>
      <c r="Q836" s="78"/>
      <c r="R836" s="78"/>
      <c r="S836" s="78"/>
      <c r="T836" s="78"/>
      <c r="U836" s="78"/>
      <c r="V836" s="78"/>
    </row>
    <row r="837" ht="15.75" customHeight="1">
      <c r="P837" s="78"/>
      <c r="Q837" s="78"/>
      <c r="R837" s="78"/>
      <c r="S837" s="78"/>
      <c r="T837" s="78"/>
      <c r="U837" s="78"/>
      <c r="V837" s="78"/>
    </row>
    <row r="838" ht="15.75" customHeight="1">
      <c r="P838" s="78"/>
      <c r="Q838" s="78"/>
      <c r="R838" s="78"/>
      <c r="S838" s="78"/>
      <c r="T838" s="78"/>
      <c r="U838" s="78"/>
      <c r="V838" s="78"/>
    </row>
    <row r="839" ht="15.75" customHeight="1">
      <c r="P839" s="78"/>
      <c r="Q839" s="78"/>
      <c r="R839" s="78"/>
      <c r="S839" s="78"/>
      <c r="T839" s="78"/>
      <c r="U839" s="78"/>
      <c r="V839" s="78"/>
    </row>
    <row r="840" ht="15.75" customHeight="1">
      <c r="P840" s="78"/>
      <c r="Q840" s="78"/>
      <c r="R840" s="78"/>
      <c r="S840" s="78"/>
      <c r="T840" s="78"/>
      <c r="U840" s="78"/>
      <c r="V840" s="78"/>
    </row>
    <row r="841" ht="15.75" customHeight="1">
      <c r="P841" s="78"/>
      <c r="Q841" s="78"/>
      <c r="R841" s="78"/>
      <c r="S841" s="78"/>
      <c r="T841" s="78"/>
      <c r="U841" s="78"/>
      <c r="V841" s="78"/>
    </row>
    <row r="842" ht="15.75" customHeight="1">
      <c r="P842" s="78"/>
      <c r="Q842" s="78"/>
      <c r="R842" s="78"/>
      <c r="S842" s="78"/>
      <c r="T842" s="78"/>
      <c r="U842" s="78"/>
      <c r="V842" s="78"/>
    </row>
    <row r="843" ht="15.75" customHeight="1">
      <c r="P843" s="78"/>
      <c r="Q843" s="78"/>
      <c r="R843" s="78"/>
      <c r="S843" s="78"/>
      <c r="T843" s="78"/>
      <c r="U843" s="78"/>
      <c r="V843" s="78"/>
    </row>
    <row r="844" ht="15.75" customHeight="1">
      <c r="P844" s="78"/>
      <c r="Q844" s="78"/>
      <c r="R844" s="78"/>
      <c r="S844" s="78"/>
      <c r="T844" s="78"/>
      <c r="U844" s="78"/>
      <c r="V844" s="78"/>
    </row>
    <row r="845" ht="15.75" customHeight="1">
      <c r="P845" s="78"/>
      <c r="Q845" s="78"/>
      <c r="R845" s="78"/>
      <c r="S845" s="78"/>
      <c r="T845" s="78"/>
      <c r="U845" s="78"/>
      <c r="V845" s="78"/>
    </row>
    <row r="846" ht="15.75" customHeight="1">
      <c r="P846" s="78"/>
      <c r="Q846" s="78"/>
      <c r="R846" s="78"/>
      <c r="S846" s="78"/>
      <c r="T846" s="78"/>
      <c r="U846" s="78"/>
      <c r="V846" s="78"/>
    </row>
    <row r="847" ht="15.75" customHeight="1">
      <c r="P847" s="78"/>
      <c r="Q847" s="78"/>
      <c r="R847" s="78"/>
      <c r="S847" s="78"/>
      <c r="T847" s="78"/>
      <c r="U847" s="78"/>
      <c r="V847" s="78"/>
    </row>
    <row r="848" ht="15.75" customHeight="1">
      <c r="P848" s="78"/>
      <c r="Q848" s="78"/>
      <c r="R848" s="78"/>
      <c r="S848" s="78"/>
      <c r="T848" s="78"/>
      <c r="U848" s="78"/>
      <c r="V848" s="78"/>
    </row>
    <row r="849" ht="15.75" customHeight="1">
      <c r="P849" s="78"/>
      <c r="Q849" s="78"/>
      <c r="R849" s="78"/>
      <c r="S849" s="78"/>
      <c r="T849" s="78"/>
      <c r="U849" s="78"/>
      <c r="V849" s="78"/>
    </row>
    <row r="850" ht="15.75" customHeight="1">
      <c r="P850" s="78"/>
      <c r="Q850" s="78"/>
      <c r="R850" s="78"/>
      <c r="S850" s="78"/>
      <c r="T850" s="78"/>
      <c r="U850" s="78"/>
      <c r="V850" s="78"/>
    </row>
    <row r="851" ht="15.75" customHeight="1">
      <c r="P851" s="78"/>
      <c r="Q851" s="78"/>
      <c r="R851" s="78"/>
      <c r="S851" s="78"/>
      <c r="T851" s="78"/>
      <c r="U851" s="78"/>
      <c r="V851" s="78"/>
    </row>
    <row r="852" ht="15.75" customHeight="1">
      <c r="P852" s="78"/>
      <c r="Q852" s="78"/>
      <c r="R852" s="78"/>
      <c r="S852" s="78"/>
      <c r="T852" s="78"/>
      <c r="U852" s="78"/>
      <c r="V852" s="78"/>
    </row>
    <row r="853" ht="15.75" customHeight="1">
      <c r="P853" s="78"/>
      <c r="Q853" s="78"/>
      <c r="R853" s="78"/>
      <c r="S853" s="78"/>
      <c r="T853" s="78"/>
      <c r="U853" s="78"/>
      <c r="V853" s="78"/>
    </row>
    <row r="854" ht="15.75" customHeight="1">
      <c r="P854" s="78"/>
      <c r="Q854" s="78"/>
      <c r="R854" s="78"/>
      <c r="S854" s="78"/>
      <c r="T854" s="78"/>
      <c r="U854" s="78"/>
      <c r="V854" s="78"/>
    </row>
    <row r="855" ht="15.75" customHeight="1">
      <c r="P855" s="78"/>
      <c r="Q855" s="78"/>
      <c r="R855" s="78"/>
      <c r="S855" s="78"/>
      <c r="T855" s="78"/>
      <c r="U855" s="78"/>
      <c r="V855" s="78"/>
    </row>
    <row r="856" ht="15.75" customHeight="1">
      <c r="P856" s="78"/>
      <c r="Q856" s="78"/>
      <c r="R856" s="78"/>
      <c r="S856" s="78"/>
      <c r="T856" s="78"/>
      <c r="U856" s="78"/>
      <c r="V856" s="78"/>
    </row>
    <row r="857" ht="15.75" customHeight="1">
      <c r="P857" s="78"/>
      <c r="Q857" s="78"/>
      <c r="R857" s="78"/>
      <c r="S857" s="78"/>
      <c r="T857" s="78"/>
      <c r="U857" s="78"/>
      <c r="V857" s="78"/>
    </row>
    <row r="858" ht="15.75" customHeight="1">
      <c r="P858" s="78"/>
      <c r="Q858" s="78"/>
      <c r="R858" s="78"/>
      <c r="S858" s="78"/>
      <c r="T858" s="78"/>
      <c r="U858" s="78"/>
      <c r="V858" s="78"/>
    </row>
    <row r="859" ht="15.75" customHeight="1">
      <c r="P859" s="78"/>
      <c r="Q859" s="78"/>
      <c r="R859" s="78"/>
      <c r="S859" s="78"/>
      <c r="T859" s="78"/>
      <c r="U859" s="78"/>
      <c r="V859" s="78"/>
    </row>
    <row r="860" ht="15.75" customHeight="1">
      <c r="P860" s="78"/>
      <c r="Q860" s="78"/>
      <c r="R860" s="78"/>
      <c r="S860" s="78"/>
      <c r="T860" s="78"/>
      <c r="U860" s="78"/>
      <c r="V860" s="78"/>
    </row>
    <row r="861" ht="15.75" customHeight="1">
      <c r="P861" s="78"/>
      <c r="Q861" s="78"/>
      <c r="R861" s="78"/>
      <c r="S861" s="78"/>
      <c r="T861" s="78"/>
      <c r="U861" s="78"/>
      <c r="V861" s="78"/>
    </row>
    <row r="862" ht="15.75" customHeight="1">
      <c r="P862" s="78"/>
      <c r="Q862" s="78"/>
      <c r="R862" s="78"/>
      <c r="S862" s="78"/>
      <c r="T862" s="78"/>
      <c r="U862" s="78"/>
      <c r="V862" s="78"/>
    </row>
    <row r="863" ht="15.75" customHeight="1">
      <c r="P863" s="78"/>
      <c r="Q863" s="78"/>
      <c r="R863" s="78"/>
      <c r="S863" s="78"/>
      <c r="T863" s="78"/>
      <c r="U863" s="78"/>
      <c r="V863" s="78"/>
    </row>
    <row r="864" ht="15.75" customHeight="1">
      <c r="P864" s="78"/>
      <c r="Q864" s="78"/>
      <c r="R864" s="78"/>
      <c r="S864" s="78"/>
      <c r="T864" s="78"/>
      <c r="U864" s="78"/>
      <c r="V864" s="78"/>
    </row>
    <row r="865" ht="15.75" customHeight="1">
      <c r="P865" s="78"/>
      <c r="Q865" s="78"/>
      <c r="R865" s="78"/>
      <c r="S865" s="78"/>
      <c r="T865" s="78"/>
      <c r="U865" s="78"/>
      <c r="V865" s="78"/>
    </row>
    <row r="866" ht="15.75" customHeight="1">
      <c r="P866" s="78"/>
      <c r="Q866" s="78"/>
      <c r="R866" s="78"/>
      <c r="S866" s="78"/>
      <c r="T866" s="78"/>
      <c r="U866" s="78"/>
      <c r="V866" s="78"/>
    </row>
    <row r="867" ht="15.75" customHeight="1">
      <c r="P867" s="78"/>
      <c r="Q867" s="78"/>
      <c r="R867" s="78"/>
      <c r="S867" s="78"/>
      <c r="T867" s="78"/>
      <c r="U867" s="78"/>
      <c r="V867" s="78"/>
    </row>
    <row r="868" ht="15.75" customHeight="1">
      <c r="P868" s="78"/>
      <c r="Q868" s="78"/>
      <c r="R868" s="78"/>
      <c r="S868" s="78"/>
      <c r="T868" s="78"/>
      <c r="U868" s="78"/>
      <c r="V868" s="78"/>
    </row>
    <row r="869" ht="15.75" customHeight="1">
      <c r="P869" s="78"/>
      <c r="Q869" s="78"/>
      <c r="R869" s="78"/>
      <c r="S869" s="78"/>
      <c r="T869" s="78"/>
      <c r="U869" s="78"/>
      <c r="V869" s="78"/>
    </row>
    <row r="870" ht="15.75" customHeight="1">
      <c r="P870" s="78"/>
      <c r="Q870" s="78"/>
      <c r="R870" s="78"/>
      <c r="S870" s="78"/>
      <c r="T870" s="78"/>
      <c r="U870" s="78"/>
      <c r="V870" s="78"/>
    </row>
    <row r="871" ht="15.75" customHeight="1">
      <c r="P871" s="78"/>
      <c r="Q871" s="78"/>
      <c r="R871" s="78"/>
      <c r="S871" s="78"/>
      <c r="T871" s="78"/>
      <c r="U871" s="78"/>
      <c r="V871" s="78"/>
    </row>
    <row r="872" ht="15.75" customHeight="1">
      <c r="P872" s="78"/>
      <c r="Q872" s="78"/>
      <c r="R872" s="78"/>
      <c r="S872" s="78"/>
      <c r="T872" s="78"/>
      <c r="U872" s="78"/>
      <c r="V872" s="78"/>
    </row>
    <row r="873" ht="15.75" customHeight="1">
      <c r="P873" s="78"/>
      <c r="Q873" s="78"/>
      <c r="R873" s="78"/>
      <c r="S873" s="78"/>
      <c r="T873" s="78"/>
      <c r="U873" s="78"/>
      <c r="V873" s="78"/>
    </row>
    <row r="874" ht="15.75" customHeight="1">
      <c r="P874" s="78"/>
      <c r="Q874" s="78"/>
      <c r="R874" s="78"/>
      <c r="S874" s="78"/>
      <c r="T874" s="78"/>
      <c r="U874" s="78"/>
      <c r="V874" s="78"/>
    </row>
    <row r="875" ht="15.75" customHeight="1">
      <c r="P875" s="78"/>
      <c r="Q875" s="78"/>
      <c r="R875" s="78"/>
      <c r="S875" s="78"/>
      <c r="T875" s="78"/>
      <c r="U875" s="78"/>
      <c r="V875" s="78"/>
    </row>
    <row r="876" ht="15.75" customHeight="1">
      <c r="P876" s="78"/>
      <c r="Q876" s="78"/>
      <c r="R876" s="78"/>
      <c r="S876" s="78"/>
      <c r="T876" s="78"/>
      <c r="U876" s="78"/>
      <c r="V876" s="78"/>
    </row>
    <row r="877" ht="15.75" customHeight="1">
      <c r="P877" s="78"/>
      <c r="Q877" s="78"/>
      <c r="R877" s="78"/>
      <c r="S877" s="78"/>
      <c r="T877" s="78"/>
      <c r="U877" s="78"/>
      <c r="V877" s="78"/>
    </row>
    <row r="878" ht="15.75" customHeight="1">
      <c r="P878" s="78"/>
      <c r="Q878" s="78"/>
      <c r="R878" s="78"/>
      <c r="S878" s="78"/>
      <c r="T878" s="78"/>
      <c r="U878" s="78"/>
      <c r="V878" s="78"/>
    </row>
    <row r="879" ht="15.75" customHeight="1">
      <c r="P879" s="78"/>
      <c r="Q879" s="78"/>
      <c r="R879" s="78"/>
      <c r="S879" s="78"/>
      <c r="T879" s="78"/>
      <c r="U879" s="78"/>
      <c r="V879" s="78"/>
    </row>
    <row r="880" ht="15.75" customHeight="1">
      <c r="P880" s="78"/>
      <c r="Q880" s="78"/>
      <c r="R880" s="78"/>
      <c r="S880" s="78"/>
      <c r="T880" s="78"/>
      <c r="U880" s="78"/>
      <c r="V880" s="78"/>
    </row>
    <row r="881" ht="15.75" customHeight="1">
      <c r="P881" s="78"/>
      <c r="Q881" s="78"/>
      <c r="R881" s="78"/>
      <c r="S881" s="78"/>
      <c r="T881" s="78"/>
      <c r="U881" s="78"/>
      <c r="V881" s="78"/>
    </row>
    <row r="882" ht="15.75" customHeight="1">
      <c r="P882" s="78"/>
      <c r="Q882" s="78"/>
      <c r="R882" s="78"/>
      <c r="S882" s="78"/>
      <c r="T882" s="78"/>
      <c r="U882" s="78"/>
      <c r="V882" s="78"/>
    </row>
    <row r="883" ht="15.75" customHeight="1">
      <c r="P883" s="78"/>
      <c r="Q883" s="78"/>
      <c r="R883" s="78"/>
      <c r="S883" s="78"/>
      <c r="T883" s="78"/>
      <c r="U883" s="78"/>
      <c r="V883" s="78"/>
    </row>
    <row r="884" ht="15.75" customHeight="1">
      <c r="P884" s="78"/>
      <c r="Q884" s="78"/>
      <c r="R884" s="78"/>
      <c r="S884" s="78"/>
      <c r="T884" s="78"/>
      <c r="U884" s="78"/>
      <c r="V884" s="78"/>
    </row>
    <row r="885" ht="15.75" customHeight="1">
      <c r="P885" s="78"/>
      <c r="Q885" s="78"/>
      <c r="R885" s="78"/>
      <c r="S885" s="78"/>
      <c r="T885" s="78"/>
      <c r="U885" s="78"/>
      <c r="V885" s="78"/>
    </row>
    <row r="886" ht="15.75" customHeight="1">
      <c r="P886" s="78"/>
      <c r="Q886" s="78"/>
      <c r="R886" s="78"/>
      <c r="S886" s="78"/>
      <c r="T886" s="78"/>
      <c r="U886" s="78"/>
      <c r="V886" s="78"/>
    </row>
    <row r="887" ht="15.75" customHeight="1">
      <c r="P887" s="78"/>
      <c r="Q887" s="78"/>
      <c r="R887" s="78"/>
      <c r="S887" s="78"/>
      <c r="T887" s="78"/>
      <c r="U887" s="78"/>
      <c r="V887" s="78"/>
    </row>
    <row r="888" ht="15.75" customHeight="1">
      <c r="P888" s="78"/>
      <c r="Q888" s="78"/>
      <c r="R888" s="78"/>
      <c r="S888" s="78"/>
      <c r="T888" s="78"/>
      <c r="U888" s="78"/>
      <c r="V888" s="78"/>
    </row>
    <row r="889" ht="15.75" customHeight="1">
      <c r="P889" s="78"/>
      <c r="Q889" s="78"/>
      <c r="R889" s="78"/>
      <c r="S889" s="78"/>
      <c r="T889" s="78"/>
      <c r="U889" s="78"/>
      <c r="V889" s="78"/>
    </row>
    <row r="890" ht="15.75" customHeight="1">
      <c r="P890" s="78"/>
      <c r="Q890" s="78"/>
      <c r="R890" s="78"/>
      <c r="S890" s="78"/>
      <c r="T890" s="78"/>
      <c r="U890" s="78"/>
      <c r="V890" s="78"/>
    </row>
    <row r="891" ht="15.75" customHeight="1">
      <c r="P891" s="78"/>
      <c r="Q891" s="78"/>
      <c r="R891" s="78"/>
      <c r="S891" s="78"/>
      <c r="T891" s="78"/>
      <c r="U891" s="78"/>
      <c r="V891" s="78"/>
    </row>
    <row r="892" ht="15.75" customHeight="1">
      <c r="P892" s="78"/>
      <c r="Q892" s="78"/>
      <c r="R892" s="78"/>
      <c r="S892" s="78"/>
      <c r="T892" s="78"/>
      <c r="U892" s="78"/>
      <c r="V892" s="78"/>
    </row>
    <row r="893" ht="15.75" customHeight="1">
      <c r="P893" s="78"/>
      <c r="Q893" s="78"/>
      <c r="R893" s="78"/>
      <c r="S893" s="78"/>
      <c r="T893" s="78"/>
      <c r="U893" s="78"/>
      <c r="V893" s="78"/>
    </row>
    <row r="894" ht="15.75" customHeight="1">
      <c r="P894" s="78"/>
      <c r="Q894" s="78"/>
      <c r="R894" s="78"/>
      <c r="S894" s="78"/>
      <c r="T894" s="78"/>
      <c r="U894" s="78"/>
      <c r="V894" s="78"/>
    </row>
    <row r="895" ht="15.75" customHeight="1">
      <c r="P895" s="78"/>
      <c r="Q895" s="78"/>
      <c r="R895" s="78"/>
      <c r="S895" s="78"/>
      <c r="T895" s="78"/>
      <c r="U895" s="78"/>
      <c r="V895" s="78"/>
    </row>
    <row r="896" ht="15.75" customHeight="1">
      <c r="P896" s="78"/>
      <c r="Q896" s="78"/>
      <c r="R896" s="78"/>
      <c r="S896" s="78"/>
      <c r="T896" s="78"/>
      <c r="U896" s="78"/>
      <c r="V896" s="78"/>
    </row>
    <row r="897" ht="15.75" customHeight="1">
      <c r="P897" s="78"/>
      <c r="Q897" s="78"/>
      <c r="R897" s="78"/>
      <c r="S897" s="78"/>
      <c r="T897" s="78"/>
      <c r="U897" s="78"/>
      <c r="V897" s="78"/>
    </row>
    <row r="898" ht="15.75" customHeight="1">
      <c r="P898" s="78"/>
      <c r="Q898" s="78"/>
      <c r="R898" s="78"/>
      <c r="S898" s="78"/>
      <c r="T898" s="78"/>
      <c r="U898" s="78"/>
      <c r="V898" s="78"/>
    </row>
    <row r="899" ht="15.75" customHeight="1">
      <c r="P899" s="78"/>
      <c r="Q899" s="78"/>
      <c r="R899" s="78"/>
      <c r="S899" s="78"/>
      <c r="T899" s="78"/>
      <c r="U899" s="78"/>
      <c r="V899" s="78"/>
    </row>
    <row r="900" ht="15.75" customHeight="1">
      <c r="P900" s="78"/>
      <c r="Q900" s="78"/>
      <c r="R900" s="78"/>
      <c r="S900" s="78"/>
      <c r="T900" s="78"/>
      <c r="U900" s="78"/>
      <c r="V900" s="78"/>
    </row>
    <row r="901" ht="15.75" customHeight="1">
      <c r="P901" s="78"/>
      <c r="Q901" s="78"/>
      <c r="R901" s="78"/>
      <c r="S901" s="78"/>
      <c r="T901" s="78"/>
      <c r="U901" s="78"/>
      <c r="V901" s="78"/>
    </row>
    <row r="902" ht="15.75" customHeight="1">
      <c r="P902" s="78"/>
      <c r="Q902" s="78"/>
      <c r="R902" s="78"/>
      <c r="S902" s="78"/>
      <c r="T902" s="78"/>
      <c r="U902" s="78"/>
      <c r="V902" s="78"/>
    </row>
    <row r="903" ht="15.75" customHeight="1">
      <c r="P903" s="78"/>
      <c r="Q903" s="78"/>
      <c r="R903" s="78"/>
      <c r="S903" s="78"/>
      <c r="T903" s="78"/>
      <c r="U903" s="78"/>
      <c r="V903" s="78"/>
    </row>
    <row r="904" ht="15.75" customHeight="1">
      <c r="P904" s="78"/>
      <c r="Q904" s="78"/>
      <c r="R904" s="78"/>
      <c r="S904" s="78"/>
      <c r="T904" s="78"/>
      <c r="U904" s="78"/>
      <c r="V904" s="78"/>
    </row>
    <row r="905" ht="15.75" customHeight="1">
      <c r="P905" s="78"/>
      <c r="Q905" s="78"/>
      <c r="R905" s="78"/>
      <c r="S905" s="78"/>
      <c r="T905" s="78"/>
      <c r="U905" s="78"/>
      <c r="V905" s="78"/>
    </row>
    <row r="906" ht="15.75" customHeight="1">
      <c r="P906" s="78"/>
      <c r="Q906" s="78"/>
      <c r="R906" s="78"/>
      <c r="S906" s="78"/>
      <c r="T906" s="78"/>
      <c r="U906" s="78"/>
      <c r="V906" s="78"/>
    </row>
    <row r="907" ht="15.75" customHeight="1">
      <c r="P907" s="78"/>
      <c r="Q907" s="78"/>
      <c r="R907" s="78"/>
      <c r="S907" s="78"/>
      <c r="T907" s="78"/>
      <c r="U907" s="78"/>
      <c r="V907" s="78"/>
    </row>
    <row r="908" ht="15.75" customHeight="1">
      <c r="P908" s="78"/>
      <c r="Q908" s="78"/>
      <c r="R908" s="78"/>
      <c r="S908" s="78"/>
      <c r="T908" s="78"/>
      <c r="U908" s="78"/>
      <c r="V908" s="78"/>
    </row>
    <row r="909" ht="15.75" customHeight="1">
      <c r="P909" s="78"/>
      <c r="Q909" s="78"/>
      <c r="R909" s="78"/>
      <c r="S909" s="78"/>
      <c r="T909" s="78"/>
      <c r="U909" s="78"/>
      <c r="V909" s="78"/>
    </row>
    <row r="910" ht="15.75" customHeight="1">
      <c r="P910" s="78"/>
      <c r="Q910" s="78"/>
      <c r="R910" s="78"/>
      <c r="S910" s="78"/>
      <c r="T910" s="78"/>
      <c r="U910" s="78"/>
      <c r="V910" s="78"/>
    </row>
    <row r="911" ht="15.75" customHeight="1">
      <c r="P911" s="78"/>
      <c r="Q911" s="78"/>
      <c r="R911" s="78"/>
      <c r="S911" s="78"/>
      <c r="T911" s="78"/>
      <c r="U911" s="78"/>
      <c r="V911" s="78"/>
    </row>
    <row r="912" ht="15.75" customHeight="1">
      <c r="P912" s="78"/>
      <c r="Q912" s="78"/>
      <c r="R912" s="78"/>
      <c r="S912" s="78"/>
      <c r="T912" s="78"/>
      <c r="U912" s="78"/>
      <c r="V912" s="78"/>
    </row>
    <row r="913" ht="15.75" customHeight="1">
      <c r="P913" s="78"/>
      <c r="Q913" s="78"/>
      <c r="R913" s="78"/>
      <c r="S913" s="78"/>
      <c r="T913" s="78"/>
      <c r="U913" s="78"/>
      <c r="V913" s="78"/>
    </row>
    <row r="914" ht="15.75" customHeight="1">
      <c r="P914" s="78"/>
      <c r="Q914" s="78"/>
      <c r="R914" s="78"/>
      <c r="S914" s="78"/>
      <c r="T914" s="78"/>
      <c r="U914" s="78"/>
      <c r="V914" s="78"/>
    </row>
    <row r="915" ht="15.75" customHeight="1">
      <c r="P915" s="78"/>
      <c r="Q915" s="78"/>
      <c r="R915" s="78"/>
      <c r="S915" s="78"/>
      <c r="T915" s="78"/>
      <c r="U915" s="78"/>
      <c r="V915" s="78"/>
    </row>
    <row r="916" ht="15.75" customHeight="1">
      <c r="P916" s="78"/>
      <c r="Q916" s="78"/>
      <c r="R916" s="78"/>
      <c r="S916" s="78"/>
      <c r="T916" s="78"/>
      <c r="U916" s="78"/>
      <c r="V916" s="78"/>
    </row>
    <row r="917" ht="15.75" customHeight="1">
      <c r="P917" s="78"/>
      <c r="Q917" s="78"/>
      <c r="R917" s="78"/>
      <c r="S917" s="78"/>
      <c r="T917" s="78"/>
      <c r="U917" s="78"/>
      <c r="V917" s="78"/>
    </row>
    <row r="918" ht="15.75" customHeight="1">
      <c r="P918" s="78"/>
      <c r="Q918" s="78"/>
      <c r="R918" s="78"/>
      <c r="S918" s="78"/>
      <c r="T918" s="78"/>
      <c r="U918" s="78"/>
      <c r="V918" s="78"/>
    </row>
    <row r="919" ht="15.75" customHeight="1">
      <c r="P919" s="78"/>
      <c r="Q919" s="78"/>
      <c r="R919" s="78"/>
      <c r="S919" s="78"/>
      <c r="T919" s="78"/>
      <c r="U919" s="78"/>
      <c r="V919" s="78"/>
    </row>
    <row r="920" ht="15.75" customHeight="1">
      <c r="P920" s="78"/>
      <c r="Q920" s="78"/>
      <c r="R920" s="78"/>
      <c r="S920" s="78"/>
      <c r="T920" s="78"/>
      <c r="U920" s="78"/>
      <c r="V920" s="78"/>
    </row>
    <row r="921" ht="15.75" customHeight="1">
      <c r="P921" s="78"/>
      <c r="Q921" s="78"/>
      <c r="R921" s="78"/>
      <c r="S921" s="78"/>
      <c r="T921" s="78"/>
      <c r="U921" s="78"/>
      <c r="V921" s="78"/>
    </row>
    <row r="922" ht="15.75" customHeight="1">
      <c r="P922" s="78"/>
      <c r="Q922" s="78"/>
      <c r="R922" s="78"/>
      <c r="S922" s="78"/>
      <c r="T922" s="78"/>
      <c r="U922" s="78"/>
      <c r="V922" s="78"/>
    </row>
    <row r="923" ht="15.75" customHeight="1">
      <c r="P923" s="78"/>
      <c r="Q923" s="78"/>
      <c r="R923" s="78"/>
      <c r="S923" s="78"/>
      <c r="T923" s="78"/>
      <c r="U923" s="78"/>
      <c r="V923" s="78"/>
    </row>
    <row r="924" ht="15.75" customHeight="1">
      <c r="P924" s="78"/>
      <c r="Q924" s="78"/>
      <c r="R924" s="78"/>
      <c r="S924" s="78"/>
      <c r="T924" s="78"/>
      <c r="U924" s="78"/>
      <c r="V924" s="78"/>
    </row>
    <row r="925" ht="15.75" customHeight="1">
      <c r="P925" s="78"/>
      <c r="Q925" s="78"/>
      <c r="R925" s="78"/>
      <c r="S925" s="78"/>
      <c r="T925" s="78"/>
      <c r="U925" s="78"/>
      <c r="V925" s="78"/>
    </row>
    <row r="926" ht="15.75" customHeight="1">
      <c r="P926" s="78"/>
      <c r="Q926" s="78"/>
      <c r="R926" s="78"/>
      <c r="S926" s="78"/>
      <c r="T926" s="78"/>
      <c r="U926" s="78"/>
      <c r="V926" s="78"/>
    </row>
    <row r="927" ht="15.75" customHeight="1">
      <c r="P927" s="78"/>
      <c r="Q927" s="78"/>
      <c r="R927" s="78"/>
      <c r="S927" s="78"/>
      <c r="T927" s="78"/>
      <c r="U927" s="78"/>
      <c r="V927" s="78"/>
    </row>
    <row r="928" ht="15.75" customHeight="1">
      <c r="P928" s="78"/>
      <c r="Q928" s="78"/>
      <c r="R928" s="78"/>
      <c r="S928" s="78"/>
      <c r="T928" s="78"/>
      <c r="U928" s="78"/>
      <c r="V928" s="78"/>
    </row>
    <row r="929" ht="15.75" customHeight="1">
      <c r="P929" s="78"/>
      <c r="Q929" s="78"/>
      <c r="R929" s="78"/>
      <c r="S929" s="78"/>
      <c r="T929" s="78"/>
      <c r="U929" s="78"/>
      <c r="V929" s="78"/>
    </row>
    <row r="930" ht="15.75" customHeight="1">
      <c r="P930" s="78"/>
      <c r="Q930" s="78"/>
      <c r="R930" s="78"/>
      <c r="S930" s="78"/>
      <c r="T930" s="78"/>
      <c r="U930" s="78"/>
      <c r="V930" s="78"/>
    </row>
    <row r="931" ht="15.75" customHeight="1">
      <c r="P931" s="78"/>
      <c r="Q931" s="78"/>
      <c r="R931" s="78"/>
      <c r="S931" s="78"/>
      <c r="T931" s="78"/>
      <c r="U931" s="78"/>
      <c r="V931" s="78"/>
    </row>
    <row r="932" ht="15.75" customHeight="1">
      <c r="P932" s="78"/>
      <c r="Q932" s="78"/>
      <c r="R932" s="78"/>
      <c r="S932" s="78"/>
      <c r="T932" s="78"/>
      <c r="U932" s="78"/>
      <c r="V932" s="78"/>
    </row>
    <row r="933" ht="15.75" customHeight="1">
      <c r="P933" s="78"/>
      <c r="Q933" s="78"/>
      <c r="R933" s="78"/>
      <c r="S933" s="78"/>
      <c r="T933" s="78"/>
      <c r="U933" s="78"/>
      <c r="V933" s="78"/>
    </row>
    <row r="934" ht="15.75" customHeight="1">
      <c r="P934" s="78"/>
      <c r="Q934" s="78"/>
      <c r="R934" s="78"/>
      <c r="S934" s="78"/>
      <c r="T934" s="78"/>
      <c r="U934" s="78"/>
      <c r="V934" s="78"/>
    </row>
    <row r="935" ht="15.75" customHeight="1">
      <c r="P935" s="78"/>
      <c r="Q935" s="78"/>
      <c r="R935" s="78"/>
      <c r="S935" s="78"/>
      <c r="T935" s="78"/>
      <c r="U935" s="78"/>
      <c r="V935" s="78"/>
    </row>
    <row r="936" ht="15.75" customHeight="1">
      <c r="P936" s="78"/>
      <c r="Q936" s="78"/>
      <c r="R936" s="78"/>
      <c r="S936" s="78"/>
      <c r="T936" s="78"/>
      <c r="U936" s="78"/>
      <c r="V936" s="78"/>
    </row>
    <row r="937" ht="15.75" customHeight="1">
      <c r="P937" s="78"/>
      <c r="Q937" s="78"/>
      <c r="R937" s="78"/>
      <c r="S937" s="78"/>
      <c r="T937" s="78"/>
      <c r="U937" s="78"/>
      <c r="V937" s="78"/>
    </row>
    <row r="938" ht="15.75" customHeight="1">
      <c r="P938" s="78"/>
      <c r="Q938" s="78"/>
      <c r="R938" s="78"/>
      <c r="S938" s="78"/>
      <c r="T938" s="78"/>
      <c r="U938" s="78"/>
      <c r="V938" s="78"/>
    </row>
    <row r="939" ht="15.75" customHeight="1">
      <c r="P939" s="78"/>
      <c r="Q939" s="78"/>
      <c r="R939" s="78"/>
      <c r="S939" s="78"/>
      <c r="T939" s="78"/>
      <c r="U939" s="78"/>
      <c r="V939" s="78"/>
    </row>
    <row r="940" ht="15.75" customHeight="1">
      <c r="P940" s="78"/>
      <c r="Q940" s="78"/>
      <c r="R940" s="78"/>
      <c r="S940" s="78"/>
      <c r="T940" s="78"/>
      <c r="U940" s="78"/>
      <c r="V940" s="78"/>
    </row>
    <row r="941" ht="15.75" customHeight="1">
      <c r="P941" s="78"/>
      <c r="Q941" s="78"/>
      <c r="R941" s="78"/>
      <c r="S941" s="78"/>
      <c r="T941" s="78"/>
      <c r="U941" s="78"/>
      <c r="V941" s="78"/>
    </row>
    <row r="942" ht="15.75" customHeight="1">
      <c r="P942" s="78"/>
      <c r="Q942" s="78"/>
      <c r="R942" s="78"/>
      <c r="S942" s="78"/>
      <c r="T942" s="78"/>
      <c r="U942" s="78"/>
      <c r="V942" s="78"/>
    </row>
    <row r="943" ht="15.75" customHeight="1">
      <c r="P943" s="78"/>
      <c r="Q943" s="78"/>
      <c r="R943" s="78"/>
      <c r="S943" s="78"/>
      <c r="T943" s="78"/>
      <c r="U943" s="78"/>
      <c r="V943" s="78"/>
    </row>
    <row r="944" ht="15.75" customHeight="1">
      <c r="P944" s="78"/>
      <c r="Q944" s="78"/>
      <c r="R944" s="78"/>
      <c r="S944" s="78"/>
      <c r="T944" s="78"/>
      <c r="U944" s="78"/>
      <c r="V944" s="78"/>
    </row>
    <row r="945" ht="15.75" customHeight="1">
      <c r="P945" s="78"/>
      <c r="Q945" s="78"/>
      <c r="R945" s="78"/>
      <c r="S945" s="78"/>
      <c r="T945" s="78"/>
      <c r="U945" s="78"/>
      <c r="V945" s="78"/>
    </row>
    <row r="946" ht="15.75" customHeight="1">
      <c r="P946" s="78"/>
      <c r="Q946" s="78"/>
      <c r="R946" s="78"/>
      <c r="S946" s="78"/>
      <c r="T946" s="78"/>
      <c r="U946" s="78"/>
      <c r="V946" s="78"/>
    </row>
    <row r="947" ht="15.75" customHeight="1">
      <c r="P947" s="78"/>
      <c r="Q947" s="78"/>
      <c r="R947" s="78"/>
      <c r="S947" s="78"/>
      <c r="T947" s="78"/>
      <c r="U947" s="78"/>
      <c r="V947" s="78"/>
    </row>
    <row r="948" ht="15.75" customHeight="1">
      <c r="P948" s="78"/>
      <c r="Q948" s="78"/>
      <c r="R948" s="78"/>
      <c r="S948" s="78"/>
      <c r="T948" s="78"/>
      <c r="U948" s="78"/>
      <c r="V948" s="78"/>
    </row>
    <row r="949" ht="15.75" customHeight="1">
      <c r="P949" s="78"/>
      <c r="Q949" s="78"/>
      <c r="R949" s="78"/>
      <c r="S949" s="78"/>
      <c r="T949" s="78"/>
      <c r="U949" s="78"/>
      <c r="V949" s="78"/>
    </row>
    <row r="950" ht="15.75" customHeight="1">
      <c r="P950" s="78"/>
      <c r="Q950" s="78"/>
      <c r="R950" s="78"/>
      <c r="S950" s="78"/>
      <c r="T950" s="78"/>
      <c r="U950" s="78"/>
      <c r="V950" s="78"/>
    </row>
    <row r="951" ht="15.75" customHeight="1">
      <c r="P951" s="78"/>
      <c r="Q951" s="78"/>
      <c r="R951" s="78"/>
      <c r="S951" s="78"/>
      <c r="T951" s="78"/>
      <c r="U951" s="78"/>
      <c r="V951" s="78"/>
    </row>
    <row r="952" ht="15.75" customHeight="1">
      <c r="P952" s="78"/>
      <c r="Q952" s="78"/>
      <c r="R952" s="78"/>
      <c r="S952" s="78"/>
      <c r="T952" s="78"/>
      <c r="U952" s="78"/>
      <c r="V952" s="78"/>
    </row>
    <row r="953" ht="15.75" customHeight="1">
      <c r="P953" s="78"/>
      <c r="Q953" s="78"/>
      <c r="R953" s="78"/>
      <c r="S953" s="78"/>
      <c r="T953" s="78"/>
      <c r="U953" s="78"/>
      <c r="V953" s="78"/>
    </row>
    <row r="954" ht="15.75" customHeight="1">
      <c r="P954" s="78"/>
      <c r="Q954" s="78"/>
      <c r="R954" s="78"/>
      <c r="S954" s="78"/>
      <c r="T954" s="78"/>
      <c r="U954" s="78"/>
      <c r="V954" s="78"/>
    </row>
    <row r="955" ht="15.75" customHeight="1">
      <c r="P955" s="78"/>
      <c r="Q955" s="78"/>
      <c r="R955" s="78"/>
      <c r="S955" s="78"/>
      <c r="T955" s="78"/>
      <c r="U955" s="78"/>
      <c r="V955" s="78"/>
    </row>
    <row r="956" ht="15.75" customHeight="1">
      <c r="P956" s="78"/>
      <c r="Q956" s="78"/>
      <c r="R956" s="78"/>
      <c r="S956" s="78"/>
      <c r="T956" s="78"/>
      <c r="U956" s="78"/>
      <c r="V956" s="78"/>
    </row>
    <row r="957" ht="15.75" customHeight="1">
      <c r="P957" s="78"/>
      <c r="Q957" s="78"/>
      <c r="R957" s="78"/>
      <c r="S957" s="78"/>
      <c r="T957" s="78"/>
      <c r="U957" s="78"/>
      <c r="V957" s="78"/>
    </row>
    <row r="958" ht="15.75" customHeight="1">
      <c r="P958" s="78"/>
      <c r="Q958" s="78"/>
      <c r="R958" s="78"/>
      <c r="S958" s="78"/>
      <c r="T958" s="78"/>
      <c r="U958" s="78"/>
      <c r="V958" s="78"/>
    </row>
    <row r="959" ht="15.75" customHeight="1">
      <c r="P959" s="78"/>
      <c r="Q959" s="78"/>
      <c r="R959" s="78"/>
      <c r="S959" s="78"/>
      <c r="T959" s="78"/>
      <c r="U959" s="78"/>
      <c r="V959" s="78"/>
    </row>
    <row r="960" ht="15.75" customHeight="1">
      <c r="P960" s="78"/>
      <c r="Q960" s="78"/>
      <c r="R960" s="78"/>
      <c r="S960" s="78"/>
      <c r="T960" s="78"/>
      <c r="U960" s="78"/>
      <c r="V960" s="78"/>
    </row>
    <row r="961" ht="15.75" customHeight="1">
      <c r="P961" s="78"/>
      <c r="Q961" s="78"/>
      <c r="R961" s="78"/>
      <c r="S961" s="78"/>
      <c r="T961" s="78"/>
      <c r="U961" s="78"/>
      <c r="V961" s="78"/>
    </row>
    <row r="962" ht="15.75" customHeight="1">
      <c r="P962" s="78"/>
      <c r="Q962" s="78"/>
      <c r="R962" s="78"/>
      <c r="S962" s="78"/>
      <c r="T962" s="78"/>
      <c r="U962" s="78"/>
      <c r="V962" s="78"/>
    </row>
    <row r="963" ht="15.75" customHeight="1">
      <c r="P963" s="78"/>
      <c r="Q963" s="78"/>
      <c r="R963" s="78"/>
      <c r="S963" s="78"/>
      <c r="T963" s="78"/>
      <c r="U963" s="78"/>
      <c r="V963" s="78"/>
    </row>
    <row r="964" ht="15.75" customHeight="1">
      <c r="P964" s="78"/>
      <c r="Q964" s="78"/>
      <c r="R964" s="78"/>
      <c r="S964" s="78"/>
      <c r="T964" s="78"/>
      <c r="U964" s="78"/>
      <c r="V964" s="78"/>
    </row>
    <row r="965" ht="15.75" customHeight="1">
      <c r="P965" s="78"/>
      <c r="Q965" s="78"/>
      <c r="R965" s="78"/>
      <c r="S965" s="78"/>
      <c r="T965" s="78"/>
      <c r="U965" s="78"/>
      <c r="V965" s="78"/>
    </row>
    <row r="966" ht="15.75" customHeight="1">
      <c r="P966" s="78"/>
      <c r="Q966" s="78"/>
      <c r="R966" s="78"/>
      <c r="S966" s="78"/>
      <c r="T966" s="78"/>
      <c r="U966" s="78"/>
      <c r="V966" s="78"/>
    </row>
    <row r="967" ht="15.75" customHeight="1">
      <c r="P967" s="78"/>
      <c r="Q967" s="78"/>
      <c r="R967" s="78"/>
      <c r="S967" s="78"/>
      <c r="T967" s="78"/>
      <c r="U967" s="78"/>
      <c r="V967" s="78"/>
    </row>
    <row r="968" ht="15.75" customHeight="1">
      <c r="P968" s="78"/>
      <c r="Q968" s="78"/>
      <c r="R968" s="78"/>
      <c r="S968" s="78"/>
      <c r="T968" s="78"/>
      <c r="U968" s="78"/>
      <c r="V968" s="78"/>
    </row>
    <row r="969" ht="15.75" customHeight="1">
      <c r="P969" s="78"/>
      <c r="Q969" s="78"/>
      <c r="R969" s="78"/>
      <c r="S969" s="78"/>
      <c r="T969" s="78"/>
      <c r="U969" s="78"/>
      <c r="V969" s="78"/>
    </row>
    <row r="970" ht="15.75" customHeight="1">
      <c r="P970" s="78"/>
      <c r="Q970" s="78"/>
      <c r="R970" s="78"/>
      <c r="S970" s="78"/>
      <c r="T970" s="78"/>
      <c r="U970" s="78"/>
      <c r="V970" s="78"/>
    </row>
    <row r="971" ht="15.75" customHeight="1">
      <c r="P971" s="78"/>
      <c r="Q971" s="78"/>
      <c r="R971" s="78"/>
      <c r="S971" s="78"/>
      <c r="T971" s="78"/>
      <c r="U971" s="78"/>
      <c r="V971" s="78"/>
    </row>
    <row r="972" ht="15.75" customHeight="1">
      <c r="P972" s="78"/>
      <c r="Q972" s="78"/>
      <c r="R972" s="78"/>
      <c r="S972" s="78"/>
      <c r="T972" s="78"/>
      <c r="U972" s="78"/>
      <c r="V972" s="78"/>
    </row>
    <row r="973" ht="15.75" customHeight="1">
      <c r="P973" s="78"/>
      <c r="Q973" s="78"/>
      <c r="R973" s="78"/>
      <c r="S973" s="78"/>
      <c r="T973" s="78"/>
      <c r="U973" s="78"/>
      <c r="V973" s="78"/>
    </row>
    <row r="974" ht="15.75" customHeight="1">
      <c r="P974" s="78"/>
      <c r="Q974" s="78"/>
      <c r="R974" s="78"/>
      <c r="S974" s="78"/>
      <c r="T974" s="78"/>
      <c r="U974" s="78"/>
      <c r="V974" s="78"/>
    </row>
    <row r="975" ht="15.75" customHeight="1">
      <c r="P975" s="78"/>
      <c r="Q975" s="78"/>
      <c r="R975" s="78"/>
      <c r="S975" s="78"/>
      <c r="T975" s="78"/>
      <c r="U975" s="78"/>
      <c r="V975" s="78"/>
    </row>
    <row r="976" ht="15.75" customHeight="1">
      <c r="P976" s="78"/>
      <c r="Q976" s="78"/>
      <c r="R976" s="78"/>
      <c r="S976" s="78"/>
      <c r="T976" s="78"/>
      <c r="U976" s="78"/>
      <c r="V976" s="78"/>
    </row>
    <row r="977" ht="15.75" customHeight="1">
      <c r="P977" s="78"/>
      <c r="Q977" s="78"/>
      <c r="R977" s="78"/>
      <c r="S977" s="78"/>
      <c r="T977" s="78"/>
      <c r="U977" s="78"/>
      <c r="V977" s="78"/>
    </row>
    <row r="978" ht="15.75" customHeight="1">
      <c r="P978" s="78"/>
      <c r="Q978" s="78"/>
      <c r="R978" s="78"/>
      <c r="S978" s="78"/>
      <c r="T978" s="78"/>
      <c r="U978" s="78"/>
      <c r="V978" s="78"/>
    </row>
    <row r="979" ht="15.75" customHeight="1">
      <c r="P979" s="78"/>
      <c r="Q979" s="78"/>
      <c r="R979" s="78"/>
      <c r="S979" s="78"/>
      <c r="T979" s="78"/>
      <c r="U979" s="78"/>
      <c r="V979" s="78"/>
    </row>
    <row r="980" ht="15.75" customHeight="1">
      <c r="P980" s="78"/>
      <c r="Q980" s="78"/>
      <c r="R980" s="78"/>
      <c r="S980" s="78"/>
      <c r="T980" s="78"/>
      <c r="U980" s="78"/>
      <c r="V980" s="78"/>
    </row>
    <row r="981" ht="15.75" customHeight="1">
      <c r="P981" s="78"/>
      <c r="Q981" s="78"/>
      <c r="R981" s="78"/>
      <c r="S981" s="78"/>
      <c r="T981" s="78"/>
      <c r="U981" s="78"/>
      <c r="V981" s="78"/>
    </row>
    <row r="982" ht="15.75" customHeight="1">
      <c r="P982" s="78"/>
      <c r="Q982" s="78"/>
      <c r="R982" s="78"/>
      <c r="S982" s="78"/>
      <c r="T982" s="78"/>
      <c r="U982" s="78"/>
      <c r="V982" s="78"/>
    </row>
    <row r="983" ht="15.75" customHeight="1">
      <c r="P983" s="78"/>
      <c r="Q983" s="78"/>
      <c r="R983" s="78"/>
      <c r="S983" s="78"/>
      <c r="T983" s="78"/>
      <c r="U983" s="78"/>
      <c r="V983" s="78"/>
    </row>
    <row r="984" ht="15.75" customHeight="1">
      <c r="P984" s="78"/>
      <c r="Q984" s="78"/>
      <c r="R984" s="78"/>
      <c r="S984" s="78"/>
      <c r="T984" s="78"/>
      <c r="U984" s="78"/>
      <c r="V984" s="78"/>
    </row>
    <row r="985" ht="15.75" customHeight="1">
      <c r="P985" s="78"/>
      <c r="Q985" s="78"/>
      <c r="R985" s="78"/>
      <c r="S985" s="78"/>
      <c r="T985" s="78"/>
      <c r="U985" s="78"/>
      <c r="V985" s="78"/>
    </row>
    <row r="986" ht="15.75" customHeight="1">
      <c r="P986" s="78"/>
      <c r="Q986" s="78"/>
      <c r="R986" s="78"/>
      <c r="S986" s="78"/>
      <c r="T986" s="78"/>
      <c r="U986" s="78"/>
      <c r="V986" s="78"/>
    </row>
    <row r="987" ht="15.75" customHeight="1">
      <c r="P987" s="78"/>
      <c r="Q987" s="78"/>
      <c r="R987" s="78"/>
      <c r="S987" s="78"/>
      <c r="T987" s="78"/>
      <c r="U987" s="78"/>
      <c r="V987" s="78"/>
    </row>
    <row r="988" ht="15.75" customHeight="1">
      <c r="P988" s="78"/>
      <c r="Q988" s="78"/>
      <c r="R988" s="78"/>
      <c r="S988" s="78"/>
      <c r="T988" s="78"/>
      <c r="U988" s="78"/>
      <c r="V988" s="78"/>
    </row>
    <row r="989" ht="15.75" customHeight="1">
      <c r="P989" s="78"/>
      <c r="Q989" s="78"/>
      <c r="R989" s="78"/>
      <c r="S989" s="78"/>
      <c r="T989" s="78"/>
      <c r="U989" s="78"/>
      <c r="V989" s="78"/>
    </row>
    <row r="990" ht="15.75" customHeight="1">
      <c r="P990" s="78"/>
      <c r="Q990" s="78"/>
      <c r="R990" s="78"/>
      <c r="S990" s="78"/>
      <c r="T990" s="78"/>
      <c r="U990" s="78"/>
      <c r="V990" s="78"/>
    </row>
    <row r="991" ht="15.75" customHeight="1">
      <c r="P991" s="78"/>
      <c r="Q991" s="78"/>
      <c r="R991" s="78"/>
      <c r="S991" s="78"/>
      <c r="T991" s="78"/>
      <c r="U991" s="78"/>
      <c r="V991" s="78"/>
    </row>
    <row r="992" ht="15.75" customHeight="1">
      <c r="P992" s="78"/>
      <c r="Q992" s="78"/>
      <c r="R992" s="78"/>
      <c r="S992" s="78"/>
      <c r="T992" s="78"/>
      <c r="U992" s="78"/>
      <c r="V992" s="78"/>
    </row>
    <row r="993" ht="15.75" customHeight="1">
      <c r="P993" s="78"/>
      <c r="Q993" s="78"/>
      <c r="R993" s="78"/>
      <c r="S993" s="78"/>
      <c r="T993" s="78"/>
      <c r="U993" s="78"/>
      <c r="V993" s="78"/>
    </row>
    <row r="994" ht="15.75" customHeight="1">
      <c r="P994" s="78"/>
      <c r="Q994" s="78"/>
      <c r="R994" s="78"/>
      <c r="S994" s="78"/>
      <c r="T994" s="78"/>
      <c r="U994" s="78"/>
      <c r="V994" s="78"/>
    </row>
    <row r="995" ht="15.75" customHeight="1">
      <c r="P995" s="78"/>
      <c r="Q995" s="78"/>
      <c r="R995" s="78"/>
      <c r="S995" s="78"/>
      <c r="T995" s="78"/>
      <c r="U995" s="78"/>
      <c r="V995" s="78"/>
    </row>
    <row r="996" ht="15.75" customHeight="1">
      <c r="P996" s="78"/>
      <c r="Q996" s="78"/>
      <c r="R996" s="78"/>
      <c r="S996" s="78"/>
      <c r="T996" s="78"/>
      <c r="U996" s="78"/>
      <c r="V996" s="78"/>
    </row>
    <row r="997" ht="15.75" customHeight="1">
      <c r="P997" s="78"/>
      <c r="Q997" s="78"/>
      <c r="R997" s="78"/>
      <c r="S997" s="78"/>
      <c r="T997" s="78"/>
      <c r="U997" s="78"/>
      <c r="V997" s="78"/>
    </row>
    <row r="998" ht="15.75" customHeight="1">
      <c r="P998" s="78"/>
      <c r="Q998" s="78"/>
      <c r="R998" s="78"/>
      <c r="S998" s="78"/>
      <c r="T998" s="78"/>
      <c r="U998" s="78"/>
      <c r="V998" s="78"/>
    </row>
    <row r="999" ht="15.75" customHeight="1">
      <c r="P999" s="78"/>
      <c r="Q999" s="78"/>
      <c r="R999" s="78"/>
      <c r="S999" s="78"/>
      <c r="T999" s="78"/>
      <c r="U999" s="78"/>
      <c r="V999" s="78"/>
    </row>
    <row r="1000" ht="15.75" customHeight="1">
      <c r="P1000" s="78"/>
      <c r="Q1000" s="78"/>
      <c r="R1000" s="78"/>
      <c r="S1000" s="78"/>
      <c r="T1000" s="78"/>
      <c r="U1000" s="78"/>
      <c r="V1000" s="78"/>
    </row>
  </sheetData>
  <mergeCells count="8">
    <mergeCell ref="B1:N2"/>
    <mergeCell ref="P1:V1"/>
    <mergeCell ref="H3:H41"/>
    <mergeCell ref="B8:C8"/>
    <mergeCell ref="I8:J8"/>
    <mergeCell ref="B15:C15"/>
    <mergeCell ref="I20:J20"/>
    <mergeCell ref="B38:C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8.13"/>
    <col customWidth="1" min="3" max="6" width="12.63"/>
    <col customWidth="1" min="8" max="8" width="4.88"/>
    <col customWidth="1" min="9" max="9" width="20.13"/>
    <col customWidth="1" min="16" max="16" width="20.5"/>
    <col customWidth="1" min="17" max="17" width="43.25"/>
    <col customWidth="1" min="18" max="18" width="13.0"/>
  </cols>
  <sheetData>
    <row r="1" ht="15.75" customHeight="1">
      <c r="B1" s="79" t="s">
        <v>127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P1" s="80" t="s">
        <v>127</v>
      </c>
      <c r="Q1" s="17"/>
      <c r="R1" s="17"/>
      <c r="S1" s="17"/>
      <c r="T1" s="17"/>
      <c r="U1" s="17"/>
      <c r="V1" s="18"/>
    </row>
    <row r="2" ht="15.75" customHeight="1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P2" s="65" t="s">
        <v>23</v>
      </c>
      <c r="Q2" s="81" t="s">
        <v>24</v>
      </c>
      <c r="R2" s="67" t="s">
        <v>7</v>
      </c>
      <c r="S2" s="67" t="s">
        <v>8</v>
      </c>
      <c r="T2" s="67" t="s">
        <v>9</v>
      </c>
      <c r="U2" s="67" t="s">
        <v>10</v>
      </c>
      <c r="V2" s="67" t="s">
        <v>11</v>
      </c>
      <c r="W2" s="36"/>
    </row>
    <row r="3" ht="15.75" customHeight="1">
      <c r="B3" s="82" t="s">
        <v>25</v>
      </c>
      <c r="C3" s="83" t="s">
        <v>128</v>
      </c>
      <c r="D3" s="84"/>
      <c r="E3" s="84"/>
      <c r="F3" s="84"/>
      <c r="G3" s="85"/>
      <c r="H3" s="86"/>
      <c r="I3" s="82" t="s">
        <v>27</v>
      </c>
      <c r="J3" s="83" t="s">
        <v>128</v>
      </c>
      <c r="K3" s="84"/>
      <c r="L3" s="84"/>
      <c r="M3" s="84"/>
      <c r="N3" s="85"/>
      <c r="P3" s="74" t="s">
        <v>0</v>
      </c>
      <c r="Q3" s="87" t="s">
        <v>29</v>
      </c>
      <c r="R3" s="76">
        <f t="shared" ref="R3:V3" si="1">J29/J32</f>
        <v>0.1893907324</v>
      </c>
      <c r="S3" s="76">
        <f t="shared" si="1"/>
        <v>0.1119674168</v>
      </c>
      <c r="T3" s="76">
        <f t="shared" si="1"/>
        <v>0.04530867302</v>
      </c>
      <c r="U3" s="76">
        <f t="shared" si="1"/>
        <v>0.2124933501</v>
      </c>
      <c r="V3" s="76">
        <f t="shared" si="1"/>
        <v>0.05999430494</v>
      </c>
    </row>
    <row r="4" ht="15.75" customHeight="1">
      <c r="B4" s="88"/>
      <c r="C4" s="89" t="s">
        <v>7</v>
      </c>
      <c r="D4" s="89" t="s">
        <v>8</v>
      </c>
      <c r="E4" s="89" t="s">
        <v>9</v>
      </c>
      <c r="F4" s="89" t="s">
        <v>10</v>
      </c>
      <c r="G4" s="90" t="s">
        <v>11</v>
      </c>
      <c r="I4" s="88"/>
      <c r="J4" s="89" t="s">
        <v>7</v>
      </c>
      <c r="K4" s="89" t="s">
        <v>8</v>
      </c>
      <c r="L4" s="89" t="s">
        <v>9</v>
      </c>
      <c r="M4" s="89" t="s">
        <v>10</v>
      </c>
      <c r="N4" s="90" t="s">
        <v>11</v>
      </c>
      <c r="P4" s="74" t="s">
        <v>6</v>
      </c>
      <c r="Q4" s="87" t="s">
        <v>30</v>
      </c>
      <c r="R4" s="76">
        <f t="shared" ref="R4:V4" si="2">(J29-J26)/J32</f>
        <v>0.1861447382</v>
      </c>
      <c r="S4" s="76">
        <f t="shared" si="2"/>
        <v>0.1096836779</v>
      </c>
      <c r="T4" s="76">
        <f t="shared" si="2"/>
        <v>0.04512241686</v>
      </c>
      <c r="U4" s="76">
        <f t="shared" si="2"/>
        <v>0.2095848494</v>
      </c>
      <c r="V4" s="76">
        <f t="shared" si="2"/>
        <v>0.05352513737</v>
      </c>
    </row>
    <row r="5" ht="15.75" customHeight="1">
      <c r="B5" s="91"/>
      <c r="C5" s="92"/>
      <c r="D5" s="92"/>
      <c r="E5" s="92"/>
      <c r="F5" s="92"/>
      <c r="G5" s="93"/>
      <c r="I5" s="91"/>
      <c r="J5" s="92"/>
      <c r="K5" s="92"/>
      <c r="L5" s="92"/>
      <c r="M5" s="92"/>
      <c r="N5" s="93"/>
      <c r="P5" s="74" t="s">
        <v>31</v>
      </c>
      <c r="Q5" s="87" t="s">
        <v>32</v>
      </c>
      <c r="R5" s="76">
        <f t="shared" ref="R5:U5" si="3">C11/((J36+K36)/2)</f>
        <v>0.1178348701</v>
      </c>
      <c r="S5" s="76">
        <f t="shared" si="3"/>
        <v>0.06837400324</v>
      </c>
      <c r="T5" s="76">
        <f t="shared" si="3"/>
        <v>0.03814984712</v>
      </c>
      <c r="U5" s="76">
        <f t="shared" si="3"/>
        <v>0.05486147827</v>
      </c>
      <c r="V5" s="76">
        <f>G11/(N36)</f>
        <v>0.06674815805</v>
      </c>
    </row>
    <row r="6" ht="15.75" customHeight="1">
      <c r="B6" s="94"/>
      <c r="C6" s="95" t="s">
        <v>33</v>
      </c>
      <c r="D6" s="95" t="s">
        <v>33</v>
      </c>
      <c r="E6" s="95" t="s">
        <v>33</v>
      </c>
      <c r="F6" s="95" t="s">
        <v>33</v>
      </c>
      <c r="G6" s="96" t="s">
        <v>33</v>
      </c>
      <c r="I6" s="94"/>
      <c r="J6" s="95" t="s">
        <v>33</v>
      </c>
      <c r="K6" s="95" t="s">
        <v>33</v>
      </c>
      <c r="L6" s="95" t="s">
        <v>33</v>
      </c>
      <c r="M6" s="95" t="s">
        <v>33</v>
      </c>
      <c r="N6" s="96" t="s">
        <v>33</v>
      </c>
      <c r="P6" s="74" t="s">
        <v>34</v>
      </c>
      <c r="Q6" s="87" t="s">
        <v>35</v>
      </c>
      <c r="R6" s="76">
        <f t="shared" ref="R6:U6" si="4">C11/((J27+K27)/2)</f>
        <v>657.8448567</v>
      </c>
      <c r="S6" s="76">
        <f t="shared" si="4"/>
        <v>157.758885</v>
      </c>
      <c r="T6" s="76">
        <f t="shared" si="4"/>
        <v>64.15330661</v>
      </c>
      <c r="U6" s="76">
        <f t="shared" si="4"/>
        <v>205.6350365</v>
      </c>
      <c r="V6" s="76">
        <f>G11/(N27)</f>
        <v>3737.2</v>
      </c>
    </row>
    <row r="7" ht="15.75" customHeight="1">
      <c r="B7" s="91"/>
      <c r="C7" s="92"/>
      <c r="D7" s="92"/>
      <c r="E7" s="92"/>
      <c r="F7" s="92"/>
      <c r="G7" s="93"/>
      <c r="I7" s="91"/>
      <c r="J7" s="92"/>
      <c r="K7" s="92"/>
      <c r="L7" s="92"/>
      <c r="M7" s="92"/>
      <c r="N7" s="93"/>
      <c r="P7" s="74" t="s">
        <v>36</v>
      </c>
      <c r="Q7" s="87" t="s">
        <v>37</v>
      </c>
      <c r="R7" s="76">
        <f t="shared" ref="R7:U7" si="5">C21/((J26+K26)/2)</f>
        <v>81.40551765</v>
      </c>
      <c r="S7" s="76">
        <f t="shared" si="5"/>
        <v>98.92090395</v>
      </c>
      <c r="T7" s="76">
        <f t="shared" si="5"/>
        <v>75.62202753</v>
      </c>
      <c r="U7" s="76">
        <f t="shared" si="5"/>
        <v>45.42825849</v>
      </c>
      <c r="V7" s="76">
        <f>G21/(N26)</f>
        <v>28.87707858</v>
      </c>
    </row>
    <row r="8" ht="15.75" customHeight="1">
      <c r="B8" s="97" t="s">
        <v>38</v>
      </c>
      <c r="C8" s="18"/>
      <c r="D8" s="89"/>
      <c r="E8" s="89"/>
      <c r="F8" s="89"/>
      <c r="G8" s="90"/>
      <c r="I8" s="97" t="s">
        <v>39</v>
      </c>
      <c r="J8" s="18"/>
      <c r="K8" s="89"/>
      <c r="L8" s="89"/>
      <c r="M8" s="89"/>
      <c r="N8" s="90"/>
      <c r="P8" s="74" t="s">
        <v>18</v>
      </c>
      <c r="Q8" s="87" t="s">
        <v>40</v>
      </c>
      <c r="R8" s="76">
        <f t="shared" ref="R8:V8" si="6">J14/J36</f>
        <v>0.002473150317</v>
      </c>
      <c r="S8" s="76">
        <f t="shared" si="6"/>
        <v>0</v>
      </c>
      <c r="T8" s="76">
        <f t="shared" si="6"/>
        <v>0</v>
      </c>
      <c r="U8" s="76">
        <f t="shared" si="6"/>
        <v>0</v>
      </c>
      <c r="V8" s="76">
        <f t="shared" si="6"/>
        <v>0</v>
      </c>
    </row>
    <row r="9" ht="15.75" customHeight="1">
      <c r="B9" s="94" t="s">
        <v>41</v>
      </c>
      <c r="C9" s="98">
        <v>1950.51</v>
      </c>
      <c r="D9" s="98">
        <v>1131.92</v>
      </c>
      <c r="E9" s="95">
        <v>640.25</v>
      </c>
      <c r="F9" s="95">
        <v>845.16</v>
      </c>
      <c r="G9" s="96">
        <v>934.3</v>
      </c>
      <c r="I9" s="94" t="s">
        <v>42</v>
      </c>
      <c r="J9" s="98">
        <v>6162.73</v>
      </c>
      <c r="K9" s="98">
        <v>6162.73</v>
      </c>
      <c r="L9" s="98">
        <v>6162.73</v>
      </c>
      <c r="M9" s="98">
        <v>6162.73</v>
      </c>
      <c r="N9" s="99">
        <v>6162.73</v>
      </c>
      <c r="P9" s="74" t="s">
        <v>43</v>
      </c>
      <c r="Q9" s="87" t="s">
        <v>44</v>
      </c>
      <c r="R9" s="76">
        <f t="shared" ref="R9:V9" si="7">J14/(J15-J14)</f>
        <v>0.002479281954</v>
      </c>
      <c r="S9" s="76">
        <f t="shared" si="7"/>
        <v>0</v>
      </c>
      <c r="T9" s="76">
        <f t="shared" si="7"/>
        <v>0</v>
      </c>
      <c r="U9" s="76">
        <f t="shared" si="7"/>
        <v>0</v>
      </c>
      <c r="V9" s="76">
        <f t="shared" si="7"/>
        <v>0</v>
      </c>
    </row>
    <row r="10" ht="15.75" customHeight="1">
      <c r="B10" s="100" t="s">
        <v>45</v>
      </c>
      <c r="C10" s="100">
        <v>0.0</v>
      </c>
      <c r="D10" s="100">
        <v>0.0</v>
      </c>
      <c r="E10" s="100">
        <v>0.0</v>
      </c>
      <c r="F10" s="100">
        <v>0.0</v>
      </c>
      <c r="G10" s="100">
        <v>0.0</v>
      </c>
      <c r="I10" s="94" t="s">
        <v>46</v>
      </c>
      <c r="J10" s="98">
        <v>6162.73</v>
      </c>
      <c r="K10" s="98">
        <v>6162.73</v>
      </c>
      <c r="L10" s="98">
        <v>6162.73</v>
      </c>
      <c r="M10" s="98">
        <v>6162.73</v>
      </c>
      <c r="N10" s="99">
        <v>6162.73</v>
      </c>
      <c r="P10" s="74" t="s">
        <v>47</v>
      </c>
      <c r="Q10" s="87" t="s">
        <v>48</v>
      </c>
      <c r="R10" s="76">
        <f t="shared" ref="R10:U10" si="8">AVERAGE(J36:K36)/AVERAGE(J12:K12)</f>
        <v>1.001252707</v>
      </c>
      <c r="S10" s="76">
        <f t="shared" si="8"/>
        <v>1</v>
      </c>
      <c r="T10" s="76">
        <f t="shared" si="8"/>
        <v>1</v>
      </c>
      <c r="U10" s="76">
        <f t="shared" si="8"/>
        <v>1</v>
      </c>
      <c r="V10" s="76">
        <f>AVERAGE(N36:O36)/N12</f>
        <v>1</v>
      </c>
    </row>
    <row r="11" ht="15.75" customHeight="1">
      <c r="B11" s="94" t="s">
        <v>49</v>
      </c>
      <c r="C11" s="98">
        <v>1950.51</v>
      </c>
      <c r="D11" s="98">
        <v>1131.92</v>
      </c>
      <c r="E11" s="95">
        <v>640.25</v>
      </c>
      <c r="F11" s="95">
        <v>845.16</v>
      </c>
      <c r="G11" s="96">
        <v>934.3</v>
      </c>
      <c r="I11" s="94" t="s">
        <v>50</v>
      </c>
      <c r="J11" s="98">
        <v>10543.72</v>
      </c>
      <c r="K11" s="98">
        <v>10195.22</v>
      </c>
      <c r="L11" s="98">
        <v>10588.98</v>
      </c>
      <c r="M11" s="98">
        <v>10650.57</v>
      </c>
      <c r="N11" s="99">
        <v>7834.66</v>
      </c>
      <c r="P11" s="74" t="s">
        <v>51</v>
      </c>
      <c r="Q11" s="87" t="s">
        <v>52</v>
      </c>
      <c r="R11" s="76">
        <f t="shared" ref="R11:V11" si="9">(C27-C30)/C28</f>
        <v>7862.203125</v>
      </c>
      <c r="S11" s="76">
        <f t="shared" si="9"/>
        <v>7572.226667</v>
      </c>
      <c r="T11" s="76">
        <f t="shared" si="9"/>
        <v>4831.025157</v>
      </c>
      <c r="U11" s="76">
        <f t="shared" si="9"/>
        <v>2149.148289</v>
      </c>
      <c r="V11" s="76">
        <f t="shared" si="9"/>
        <v>586.5</v>
      </c>
    </row>
    <row r="12" ht="15.75" customHeight="1">
      <c r="B12" s="94" t="s">
        <v>53</v>
      </c>
      <c r="C12" s="98">
        <v>14552.63</v>
      </c>
      <c r="D12" s="98">
        <v>10935.62</v>
      </c>
      <c r="E12" s="98">
        <v>7679.18</v>
      </c>
      <c r="F12" s="98">
        <v>11566.33</v>
      </c>
      <c r="G12" s="99">
        <v>10548.66</v>
      </c>
      <c r="I12" s="88" t="s">
        <v>54</v>
      </c>
      <c r="J12" s="101">
        <v>16706.45</v>
      </c>
      <c r="K12" s="101">
        <v>16357.95</v>
      </c>
      <c r="L12" s="101">
        <v>16751.71</v>
      </c>
      <c r="M12" s="101">
        <v>16813.3</v>
      </c>
      <c r="N12" s="102">
        <v>13997.39</v>
      </c>
      <c r="P12" s="74" t="s">
        <v>55</v>
      </c>
      <c r="Q12" s="87" t="s">
        <v>56</v>
      </c>
      <c r="R12" s="76">
        <f t="shared" ref="R12:V12" si="10">C34/C11</f>
        <v>7.588943405</v>
      </c>
      <c r="S12" s="76">
        <f t="shared" si="10"/>
        <v>9.896079228</v>
      </c>
      <c r="T12" s="76">
        <f t="shared" si="10"/>
        <v>11.93299492</v>
      </c>
      <c r="U12" s="76">
        <f t="shared" si="10"/>
        <v>13.34762648</v>
      </c>
      <c r="V12" s="76">
        <f t="shared" si="10"/>
        <v>11.20589746</v>
      </c>
    </row>
    <row r="13" ht="15.75" customHeight="1">
      <c r="B13" s="94" t="s">
        <v>57</v>
      </c>
      <c r="C13" s="95">
        <v>7.32</v>
      </c>
      <c r="D13" s="95">
        <v>11.99</v>
      </c>
      <c r="E13" s="95">
        <v>-14.21</v>
      </c>
      <c r="F13" s="95">
        <v>-15.68</v>
      </c>
      <c r="G13" s="96">
        <v>9.41</v>
      </c>
      <c r="I13" s="94" t="s">
        <v>58</v>
      </c>
      <c r="J13" s="95">
        <v>41.42</v>
      </c>
      <c r="K13" s="95">
        <v>0.0</v>
      </c>
      <c r="L13" s="95">
        <v>0.0</v>
      </c>
      <c r="M13" s="95">
        <v>0.0</v>
      </c>
      <c r="N13" s="96">
        <v>0.0</v>
      </c>
      <c r="P13" s="74" t="s">
        <v>59</v>
      </c>
      <c r="Q13" s="87" t="s">
        <v>60</v>
      </c>
      <c r="R13" s="76">
        <f t="shared" ref="R13:V13" si="11">(C14-C21)/C11</f>
        <v>7.761236805</v>
      </c>
      <c r="S13" s="76">
        <f t="shared" si="11"/>
        <v>10.05298078</v>
      </c>
      <c r="T13" s="76">
        <f t="shared" si="11"/>
        <v>12.02811402</v>
      </c>
      <c r="U13" s="76">
        <f t="shared" si="11"/>
        <v>13.4399522</v>
      </c>
      <c r="V13" s="76">
        <f t="shared" si="11"/>
        <v>11.35257412</v>
      </c>
    </row>
    <row r="14" ht="15.75" customHeight="1">
      <c r="B14" s="88" t="s">
        <v>61</v>
      </c>
      <c r="C14" s="101">
        <v>16510.46</v>
      </c>
      <c r="D14" s="101">
        <v>12079.53</v>
      </c>
      <c r="E14" s="101">
        <v>8305.22</v>
      </c>
      <c r="F14" s="101">
        <v>12395.81</v>
      </c>
      <c r="G14" s="102">
        <v>11492.37</v>
      </c>
      <c r="I14" s="88" t="s">
        <v>62</v>
      </c>
      <c r="J14" s="89">
        <v>41.42</v>
      </c>
      <c r="K14" s="89">
        <v>0.0</v>
      </c>
      <c r="L14" s="89">
        <v>0.0</v>
      </c>
      <c r="M14" s="89">
        <v>0.0</v>
      </c>
      <c r="N14" s="90">
        <v>0.0</v>
      </c>
      <c r="P14" s="74" t="s">
        <v>63</v>
      </c>
      <c r="Q14" s="87" t="s">
        <v>64</v>
      </c>
      <c r="R14" s="76">
        <f t="shared" ref="R14:U14" si="12">C34/AVERAGE(J36:K36)</f>
        <v>0.8942421604</v>
      </c>
      <c r="S14" s="76">
        <f t="shared" si="12"/>
        <v>0.6766345532</v>
      </c>
      <c r="T14" s="76">
        <f t="shared" si="12"/>
        <v>0.455241932</v>
      </c>
      <c r="U14" s="76">
        <f t="shared" si="12"/>
        <v>0.7322705204</v>
      </c>
      <c r="V14" s="76">
        <f>G34/N36</f>
        <v>0.747973015</v>
      </c>
    </row>
    <row r="15" ht="15.75" customHeight="1">
      <c r="B15" s="97" t="s">
        <v>65</v>
      </c>
      <c r="C15" s="18"/>
      <c r="D15" s="89"/>
      <c r="E15" s="89"/>
      <c r="F15" s="89"/>
      <c r="G15" s="90"/>
      <c r="I15" s="88" t="s">
        <v>66</v>
      </c>
      <c r="J15" s="101">
        <v>16747.87</v>
      </c>
      <c r="K15" s="101">
        <v>16357.95</v>
      </c>
      <c r="L15" s="101">
        <v>16751.71</v>
      </c>
      <c r="M15" s="101">
        <v>16813.3</v>
      </c>
      <c r="N15" s="102">
        <v>13997.39</v>
      </c>
      <c r="P15" s="74" t="s">
        <v>67</v>
      </c>
      <c r="Q15" s="87" t="s">
        <v>68</v>
      </c>
      <c r="R15" s="76">
        <f t="shared" ref="R15:U15" si="13">C26/((J36+K36)/2)</f>
        <v>0.03538592308</v>
      </c>
      <c r="S15" s="76">
        <f t="shared" si="13"/>
        <v>0.02679278495</v>
      </c>
      <c r="T15" s="76">
        <f t="shared" si="13"/>
        <v>0.001300163474</v>
      </c>
      <c r="U15" s="76">
        <f t="shared" si="13"/>
        <v>-0.01346415806</v>
      </c>
      <c r="V15" s="76">
        <f>G26/(N36)</f>
        <v>0.004147201728</v>
      </c>
    </row>
    <row r="16" ht="15.75" customHeight="1">
      <c r="B16" s="94" t="s">
        <v>69</v>
      </c>
      <c r="C16" s="95">
        <v>474.61</v>
      </c>
      <c r="D16" s="95">
        <v>1.19</v>
      </c>
      <c r="E16" s="95">
        <v>2.24</v>
      </c>
      <c r="F16" s="95">
        <v>5.09</v>
      </c>
      <c r="G16" s="96">
        <v>6.11</v>
      </c>
      <c r="I16" s="88"/>
      <c r="J16" s="89" t="s">
        <v>7</v>
      </c>
      <c r="K16" s="89" t="s">
        <v>8</v>
      </c>
      <c r="L16" s="89" t="s">
        <v>9</v>
      </c>
      <c r="M16" s="89" t="s">
        <v>10</v>
      </c>
      <c r="N16" s="90" t="s">
        <v>11</v>
      </c>
      <c r="P16" s="74" t="s">
        <v>70</v>
      </c>
      <c r="Q16" s="87" t="s">
        <v>71</v>
      </c>
      <c r="R16" s="76">
        <f t="shared" ref="R16:U16" si="14">C34/((J12+K12)/2)</f>
        <v>0.8953623837</v>
      </c>
      <c r="S16" s="76">
        <f t="shared" si="14"/>
        <v>0.6766345532</v>
      </c>
      <c r="T16" s="76">
        <f t="shared" si="14"/>
        <v>0.455241932</v>
      </c>
      <c r="U16" s="76">
        <f t="shared" si="14"/>
        <v>0.7322705204</v>
      </c>
      <c r="V16" s="76">
        <f>G34/(N12)</f>
        <v>0.747973015</v>
      </c>
    </row>
    <row r="17" ht="15.75" customHeight="1">
      <c r="B17" s="94" t="s">
        <v>72</v>
      </c>
      <c r="C17" s="95">
        <v>7.4</v>
      </c>
      <c r="D17" s="95">
        <v>8.42</v>
      </c>
      <c r="E17" s="95">
        <v>8.47</v>
      </c>
      <c r="F17" s="95">
        <v>10.08</v>
      </c>
      <c r="G17" s="96">
        <v>12.28</v>
      </c>
      <c r="I17" s="91"/>
      <c r="J17" s="92"/>
      <c r="K17" s="92"/>
      <c r="L17" s="92"/>
      <c r="M17" s="92"/>
      <c r="N17" s="93"/>
      <c r="P17" s="74" t="s">
        <v>73</v>
      </c>
      <c r="Q17" s="87" t="s">
        <v>74</v>
      </c>
      <c r="R17" s="76">
        <f t="shared" ref="R17:V17" si="15">C36/C14</f>
        <v>0.8678371166</v>
      </c>
      <c r="S17" s="76">
        <f t="shared" si="15"/>
        <v>0.8928153662</v>
      </c>
      <c r="T17" s="76">
        <f t="shared" si="15"/>
        <v>0.9275407515</v>
      </c>
      <c r="U17" s="76">
        <f t="shared" si="15"/>
        <v>0.5965943331</v>
      </c>
      <c r="V17" s="76">
        <f t="shared" si="15"/>
        <v>0.7053009954</v>
      </c>
    </row>
    <row r="18" ht="15.75" customHeight="1">
      <c r="B18" s="94" t="s">
        <v>75</v>
      </c>
      <c r="C18" s="95">
        <v>421.48</v>
      </c>
      <c r="D18" s="95">
        <v>438.84</v>
      </c>
      <c r="E18" s="95">
        <v>443.9</v>
      </c>
      <c r="F18" s="95">
        <v>545.25</v>
      </c>
      <c r="G18" s="96">
        <v>474.66</v>
      </c>
      <c r="I18" s="94"/>
      <c r="J18" s="95" t="s">
        <v>33</v>
      </c>
      <c r="K18" s="95" t="s">
        <v>33</v>
      </c>
      <c r="L18" s="95" t="s">
        <v>33</v>
      </c>
      <c r="M18" s="95" t="s">
        <v>33</v>
      </c>
      <c r="N18" s="96" t="s">
        <v>33</v>
      </c>
      <c r="P18" s="74" t="s">
        <v>76</v>
      </c>
      <c r="Q18" s="87" t="s">
        <v>77</v>
      </c>
      <c r="R18" s="76">
        <f t="shared" ref="R18:V18" si="16">(C34-C36)/C34</f>
        <v>0.03201662443</v>
      </c>
      <c r="S18" s="76">
        <f t="shared" si="16"/>
        <v>0.03720728434</v>
      </c>
      <c r="T18" s="76">
        <f t="shared" si="16"/>
        <v>-0.008289158519</v>
      </c>
      <c r="U18" s="76">
        <f t="shared" si="16"/>
        <v>0.3444421003</v>
      </c>
      <c r="V18" s="76">
        <f t="shared" si="16"/>
        <v>0.2258036786</v>
      </c>
    </row>
    <row r="19" ht="15.75" customHeight="1">
      <c r="B19" s="94" t="s">
        <v>78</v>
      </c>
      <c r="C19" s="95">
        <v>0.0</v>
      </c>
      <c r="D19" s="95">
        <v>25.78</v>
      </c>
      <c r="E19" s="95">
        <v>12.75</v>
      </c>
      <c r="F19" s="95">
        <v>73.07</v>
      </c>
      <c r="G19" s="96">
        <v>151.62</v>
      </c>
      <c r="I19" s="91"/>
      <c r="J19" s="92"/>
      <c r="K19" s="92"/>
      <c r="L19" s="92"/>
      <c r="M19" s="92"/>
      <c r="N19" s="93"/>
      <c r="P19" s="74" t="s">
        <v>79</v>
      </c>
      <c r="Q19" s="87" t="s">
        <v>80</v>
      </c>
      <c r="R19" s="76">
        <f t="shared" ref="R19:V19" si="17">C44/C40</f>
        <v>8.909242298</v>
      </c>
      <c r="S19" s="76">
        <f t="shared" si="17"/>
        <v>10.0660066</v>
      </c>
      <c r="T19" s="76">
        <f t="shared" si="17"/>
        <v>10.56451613</v>
      </c>
      <c r="U19" s="76">
        <f t="shared" si="17"/>
        <v>7.536865101</v>
      </c>
      <c r="V19" s="76">
        <f t="shared" si="17"/>
        <v>14.00824014</v>
      </c>
    </row>
    <row r="20" ht="15.75" customHeight="1">
      <c r="B20" s="94" t="s">
        <v>81</v>
      </c>
      <c r="C20" s="95">
        <v>462.71</v>
      </c>
      <c r="D20" s="95">
        <v>219.36</v>
      </c>
      <c r="E20" s="95">
        <v>134.49</v>
      </c>
      <c r="F20" s="95">
        <v>396.47</v>
      </c>
      <c r="G20" s="96">
        <v>235.76</v>
      </c>
      <c r="I20" s="97" t="s">
        <v>82</v>
      </c>
      <c r="J20" s="18"/>
      <c r="K20" s="89"/>
      <c r="L20" s="89"/>
      <c r="M20" s="89"/>
      <c r="N20" s="90"/>
      <c r="P20" s="74" t="s">
        <v>83</v>
      </c>
      <c r="Q20" s="87" t="s">
        <v>84</v>
      </c>
      <c r="R20" s="76">
        <f t="shared" ref="R20:V20" si="18">C36/C39/C44*100</f>
        <v>0.1086452192</v>
      </c>
      <c r="S20" s="76">
        <f t="shared" si="18"/>
        <v>0.09562855717</v>
      </c>
      <c r="T20" s="76">
        <f t="shared" si="18"/>
        <v>0.09542009506</v>
      </c>
      <c r="U20" s="76">
        <f t="shared" si="18"/>
        <v>0.08695647941</v>
      </c>
      <c r="V20" s="76">
        <f t="shared" si="18"/>
        <v>0.05526295956</v>
      </c>
    </row>
    <row r="21" ht="15.75" customHeight="1">
      <c r="B21" s="94" t="s">
        <v>85</v>
      </c>
      <c r="C21" s="98">
        <v>1372.09</v>
      </c>
      <c r="D21" s="95">
        <v>700.36</v>
      </c>
      <c r="E21" s="95">
        <v>604.22</v>
      </c>
      <c r="F21" s="98">
        <v>1036.9</v>
      </c>
      <c r="G21" s="96">
        <v>885.66</v>
      </c>
      <c r="I21" s="94" t="s">
        <v>86</v>
      </c>
      <c r="J21" s="95">
        <v>717.63</v>
      </c>
      <c r="K21" s="95">
        <v>568.39</v>
      </c>
      <c r="L21" s="95">
        <v>484.15</v>
      </c>
      <c r="M21" s="95">
        <v>419.77</v>
      </c>
      <c r="N21" s="96">
        <v>356.21</v>
      </c>
      <c r="P21" s="74" t="s">
        <v>87</v>
      </c>
      <c r="Q21" s="87" t="s">
        <v>88</v>
      </c>
      <c r="R21" s="76">
        <f t="shared" ref="R21:V21" si="19">C44/C42</f>
        <v>7.893766138</v>
      </c>
      <c r="S21" s="76">
        <f t="shared" si="19"/>
        <v>6.895252449</v>
      </c>
      <c r="T21" s="76">
        <f t="shared" si="19"/>
        <v>4.819720383</v>
      </c>
      <c r="U21" s="76">
        <f t="shared" si="19"/>
        <v>5.058651026</v>
      </c>
      <c r="V21" s="76">
        <f t="shared" si="19"/>
        <v>10.47996477</v>
      </c>
    </row>
    <row r="22" ht="15.75" customHeight="1">
      <c r="B22" s="88"/>
      <c r="C22" s="89" t="s">
        <v>7</v>
      </c>
      <c r="D22" s="89" t="s">
        <v>8</v>
      </c>
      <c r="E22" s="89" t="s">
        <v>9</v>
      </c>
      <c r="F22" s="89" t="s">
        <v>10</v>
      </c>
      <c r="G22" s="90" t="s">
        <v>11</v>
      </c>
      <c r="I22" s="94" t="s">
        <v>89</v>
      </c>
      <c r="J22" s="95">
        <v>163.89</v>
      </c>
      <c r="K22" s="95">
        <v>145.51</v>
      </c>
      <c r="L22" s="95">
        <v>133.93</v>
      </c>
      <c r="M22" s="95">
        <v>117.18</v>
      </c>
      <c r="N22" s="96">
        <v>63.78</v>
      </c>
      <c r="P22" s="74" t="s">
        <v>90</v>
      </c>
      <c r="Q22" s="87" t="s">
        <v>91</v>
      </c>
      <c r="R22" s="76">
        <f t="shared" ref="R22:V22" si="20">R12*R5*R10</f>
        <v>0.8953623837</v>
      </c>
      <c r="S22" s="76">
        <f t="shared" si="20"/>
        <v>0.6766345532</v>
      </c>
      <c r="T22" s="76">
        <f t="shared" si="20"/>
        <v>0.455241932</v>
      </c>
      <c r="U22" s="76">
        <f t="shared" si="20"/>
        <v>0.7322705204</v>
      </c>
      <c r="V22" s="76">
        <f t="shared" si="20"/>
        <v>0.747973015</v>
      </c>
    </row>
    <row r="23" ht="15.75" customHeight="1">
      <c r="B23" s="91"/>
      <c r="C23" s="92"/>
      <c r="D23" s="92"/>
      <c r="E23" s="92"/>
      <c r="F23" s="92"/>
      <c r="G23" s="93"/>
      <c r="I23" s="88" t="s">
        <v>92</v>
      </c>
      <c r="J23" s="89">
        <v>553.74</v>
      </c>
      <c r="K23" s="89">
        <v>422.88</v>
      </c>
      <c r="L23" s="89">
        <v>350.22</v>
      </c>
      <c r="M23" s="89">
        <v>302.59</v>
      </c>
      <c r="N23" s="90">
        <v>292.43</v>
      </c>
      <c r="P23" s="78"/>
      <c r="Q23" s="78"/>
      <c r="R23" s="78"/>
      <c r="S23" s="78"/>
      <c r="T23" s="78"/>
      <c r="U23" s="78"/>
      <c r="V23" s="78"/>
    </row>
    <row r="24" ht="15.75" customHeight="1">
      <c r="B24" s="94"/>
      <c r="C24" s="95" t="s">
        <v>33</v>
      </c>
      <c r="D24" s="95" t="s">
        <v>33</v>
      </c>
      <c r="E24" s="95" t="s">
        <v>33</v>
      </c>
      <c r="F24" s="95" t="s">
        <v>33</v>
      </c>
      <c r="G24" s="96" t="s">
        <v>33</v>
      </c>
      <c r="I24" s="94" t="s">
        <v>93</v>
      </c>
      <c r="J24" s="95">
        <v>108.73</v>
      </c>
      <c r="K24" s="95">
        <v>160.72</v>
      </c>
      <c r="L24" s="95">
        <v>173.97</v>
      </c>
      <c r="M24" s="95">
        <v>193.81</v>
      </c>
      <c r="N24" s="96">
        <v>189.65</v>
      </c>
      <c r="P24" s="78"/>
      <c r="Q24" s="78"/>
      <c r="R24" s="78"/>
      <c r="S24" s="78"/>
      <c r="T24" s="78"/>
      <c r="U24" s="78"/>
      <c r="V24" s="78"/>
    </row>
    <row r="25" ht="15.75" customHeight="1">
      <c r="I25" s="88" t="s">
        <v>94</v>
      </c>
      <c r="J25" s="101">
        <v>13862.67</v>
      </c>
      <c r="K25" s="101">
        <v>13565.04</v>
      </c>
      <c r="L25" s="101">
        <v>13224.87</v>
      </c>
      <c r="M25" s="101">
        <v>12326.56</v>
      </c>
      <c r="N25" s="102">
        <v>12537.9</v>
      </c>
      <c r="P25" s="78"/>
      <c r="Q25" s="103"/>
      <c r="R25" s="78"/>
      <c r="S25" s="78"/>
      <c r="T25" s="78"/>
      <c r="U25" s="78"/>
      <c r="V25" s="78"/>
    </row>
    <row r="26" ht="15.75" customHeight="1">
      <c r="B26" s="88" t="s">
        <v>95</v>
      </c>
      <c r="C26" s="89">
        <v>585.74</v>
      </c>
      <c r="D26" s="89">
        <v>443.55</v>
      </c>
      <c r="E26" s="89">
        <v>21.82</v>
      </c>
      <c r="F26" s="89">
        <v>-207.42</v>
      </c>
      <c r="G26" s="90">
        <v>58.05</v>
      </c>
      <c r="I26" s="94" t="s">
        <v>96</v>
      </c>
      <c r="J26" s="95">
        <v>20.55</v>
      </c>
      <c r="K26" s="95">
        <v>13.16</v>
      </c>
      <c r="L26" s="95">
        <v>1.0</v>
      </c>
      <c r="M26" s="95">
        <v>14.98</v>
      </c>
      <c r="N26" s="96">
        <v>30.67</v>
      </c>
      <c r="P26" s="78"/>
      <c r="Q26" s="78"/>
      <c r="R26" s="78"/>
      <c r="S26" s="78"/>
      <c r="T26" s="78"/>
      <c r="U26" s="78"/>
      <c r="V26" s="78"/>
    </row>
    <row r="27" ht="15.75" customHeight="1">
      <c r="B27" s="94" t="s">
        <v>97</v>
      </c>
      <c r="C27" s="98">
        <v>15138.37</v>
      </c>
      <c r="D27" s="98">
        <v>11379.17</v>
      </c>
      <c r="E27" s="98">
        <v>7701.0</v>
      </c>
      <c r="F27" s="98">
        <v>11358.91</v>
      </c>
      <c r="G27" s="99">
        <v>10606.71</v>
      </c>
      <c r="I27" s="94" t="s">
        <v>98</v>
      </c>
      <c r="J27" s="95">
        <v>3.57</v>
      </c>
      <c r="K27" s="95">
        <v>2.36</v>
      </c>
      <c r="L27" s="95">
        <v>11.99</v>
      </c>
      <c r="M27" s="95">
        <v>7.97</v>
      </c>
      <c r="N27" s="96">
        <v>0.25</v>
      </c>
      <c r="P27" s="78"/>
      <c r="Q27" s="78"/>
      <c r="R27" s="78"/>
      <c r="S27" s="78"/>
      <c r="T27" s="78"/>
      <c r="U27" s="78"/>
      <c r="V27" s="78"/>
    </row>
    <row r="28" ht="15.75" customHeight="1">
      <c r="B28" s="94" t="s">
        <v>99</v>
      </c>
      <c r="C28" s="95">
        <v>1.92</v>
      </c>
      <c r="D28" s="95">
        <v>1.5</v>
      </c>
      <c r="E28" s="95">
        <v>1.59</v>
      </c>
      <c r="F28" s="95">
        <v>5.26</v>
      </c>
      <c r="G28" s="96">
        <v>18.04</v>
      </c>
      <c r="I28" s="94" t="s">
        <v>100</v>
      </c>
      <c r="J28" s="98">
        <v>1174.89</v>
      </c>
      <c r="K28" s="95">
        <v>629.69</v>
      </c>
      <c r="L28" s="95">
        <v>230.27</v>
      </c>
      <c r="M28" s="98">
        <v>1071.48</v>
      </c>
      <c r="N28" s="96">
        <v>253.51</v>
      </c>
      <c r="P28" s="78"/>
      <c r="Q28" s="78"/>
      <c r="R28" s="78"/>
      <c r="S28" s="78"/>
      <c r="T28" s="78"/>
      <c r="U28" s="78"/>
      <c r="V28" s="78"/>
    </row>
    <row r="29" ht="15.75" customHeight="1">
      <c r="B29" s="94" t="s">
        <v>101</v>
      </c>
      <c r="C29" s="98">
        <v>15136.45</v>
      </c>
      <c r="D29" s="98">
        <v>11377.67</v>
      </c>
      <c r="E29" s="98">
        <v>7699.41</v>
      </c>
      <c r="F29" s="98">
        <v>11353.65</v>
      </c>
      <c r="G29" s="99">
        <v>10588.67</v>
      </c>
      <c r="I29" s="94" t="s">
        <v>102</v>
      </c>
      <c r="J29" s="98">
        <v>1199.01</v>
      </c>
      <c r="K29" s="95">
        <v>645.21</v>
      </c>
      <c r="L29" s="95">
        <v>243.26</v>
      </c>
      <c r="M29" s="98">
        <v>1094.43</v>
      </c>
      <c r="N29" s="96">
        <v>284.43</v>
      </c>
      <c r="P29" s="78"/>
      <c r="Q29" s="78"/>
      <c r="R29" s="78"/>
      <c r="S29" s="78"/>
      <c r="T29" s="78"/>
      <c r="U29" s="78"/>
      <c r="V29" s="78"/>
    </row>
    <row r="30" ht="15.75" customHeight="1">
      <c r="B30" s="94" t="s">
        <v>103</v>
      </c>
      <c r="C30" s="95">
        <v>42.94</v>
      </c>
      <c r="D30" s="95">
        <v>20.83</v>
      </c>
      <c r="E30" s="95">
        <v>19.67</v>
      </c>
      <c r="F30" s="95">
        <v>54.39</v>
      </c>
      <c r="G30" s="96">
        <v>26.25</v>
      </c>
      <c r="I30" s="94" t="s">
        <v>104</v>
      </c>
      <c r="J30" s="98">
        <v>7706.53</v>
      </c>
      <c r="K30" s="98">
        <v>7646.45</v>
      </c>
      <c r="L30" s="98">
        <v>8506.22</v>
      </c>
      <c r="M30" s="98">
        <v>8481.09</v>
      </c>
      <c r="N30" s="99">
        <v>5736.16</v>
      </c>
      <c r="P30" s="78"/>
      <c r="Q30" s="78"/>
      <c r="R30" s="78"/>
      <c r="S30" s="78"/>
      <c r="T30" s="78"/>
      <c r="U30" s="78"/>
      <c r="V30" s="78"/>
    </row>
    <row r="31" ht="15.75" customHeight="1">
      <c r="B31" s="94" t="s">
        <v>129</v>
      </c>
      <c r="C31" s="95">
        <v>0.0</v>
      </c>
      <c r="D31" s="95">
        <v>0.0</v>
      </c>
      <c r="E31" s="95">
        <v>5.76</v>
      </c>
      <c r="F31" s="95">
        <v>0.0</v>
      </c>
      <c r="G31" s="96">
        <v>0.0</v>
      </c>
      <c r="I31" s="94" t="s">
        <v>106</v>
      </c>
      <c r="J31" s="98">
        <v>8905.54</v>
      </c>
      <c r="K31" s="98">
        <v>8291.66</v>
      </c>
      <c r="L31" s="98">
        <v>8749.48</v>
      </c>
      <c r="M31" s="98">
        <v>9575.52</v>
      </c>
      <c r="N31" s="99">
        <v>6020.59</v>
      </c>
      <c r="P31" s="78"/>
      <c r="Q31" s="78"/>
      <c r="R31" s="78"/>
      <c r="S31" s="78"/>
      <c r="T31" s="78"/>
      <c r="U31" s="78"/>
      <c r="V31" s="78"/>
    </row>
    <row r="32" ht="15.75" customHeight="1">
      <c r="B32" s="94" t="s">
        <v>105</v>
      </c>
      <c r="C32" s="98">
        <v>15093.51</v>
      </c>
      <c r="D32" s="98">
        <v>11356.84</v>
      </c>
      <c r="E32" s="98">
        <v>7673.98</v>
      </c>
      <c r="F32" s="98">
        <v>11299.26</v>
      </c>
      <c r="G32" s="99">
        <v>10562.42</v>
      </c>
      <c r="I32" s="94" t="s">
        <v>108</v>
      </c>
      <c r="J32" s="98">
        <v>6330.88</v>
      </c>
      <c r="K32" s="98">
        <v>5762.48</v>
      </c>
      <c r="L32" s="98">
        <v>5368.95</v>
      </c>
      <c r="M32" s="98">
        <v>5150.42</v>
      </c>
      <c r="N32" s="99">
        <v>4740.95</v>
      </c>
      <c r="P32" s="78"/>
      <c r="Q32" s="78"/>
      <c r="R32" s="78"/>
      <c r="S32" s="78"/>
      <c r="T32" s="78"/>
      <c r="U32" s="78"/>
      <c r="V32" s="78"/>
    </row>
    <row r="33" ht="15.75" customHeight="1">
      <c r="B33" s="94" t="s">
        <v>109</v>
      </c>
      <c r="C33" s="95">
        <v>291.2</v>
      </c>
      <c r="D33" s="95">
        <v>155.27</v>
      </c>
      <c r="E33" s="95">
        <v>33.88</v>
      </c>
      <c r="F33" s="95">
        <v>18.38</v>
      </c>
      <c r="G33" s="96">
        <v>92.75</v>
      </c>
      <c r="I33" s="94" t="s">
        <v>110</v>
      </c>
      <c r="J33" s="95">
        <v>351.93</v>
      </c>
      <c r="K33" s="95">
        <v>319.87</v>
      </c>
      <c r="L33" s="95">
        <v>377.88</v>
      </c>
      <c r="M33" s="95">
        <v>434.76</v>
      </c>
      <c r="N33" s="96">
        <v>302.23</v>
      </c>
      <c r="P33" s="78"/>
      <c r="Q33" s="78"/>
      <c r="R33" s="78"/>
      <c r="S33" s="78"/>
      <c r="T33" s="78"/>
      <c r="U33" s="78"/>
      <c r="V33" s="78"/>
    </row>
    <row r="34" ht="15.75" customHeight="1">
      <c r="B34" s="88" t="s">
        <v>111</v>
      </c>
      <c r="C34" s="101">
        <v>14802.31</v>
      </c>
      <c r="D34" s="101">
        <v>11201.57</v>
      </c>
      <c r="E34" s="101">
        <v>7640.1</v>
      </c>
      <c r="F34" s="101">
        <v>11280.88</v>
      </c>
      <c r="G34" s="102">
        <v>10469.67</v>
      </c>
      <c r="I34" s="94" t="s">
        <v>112</v>
      </c>
      <c r="J34" s="98">
        <v>6682.81</v>
      </c>
      <c r="K34" s="98">
        <v>6082.35</v>
      </c>
      <c r="L34" s="98">
        <v>5746.83</v>
      </c>
      <c r="M34" s="98">
        <v>5585.18</v>
      </c>
      <c r="N34" s="99">
        <v>5043.18</v>
      </c>
      <c r="P34" s="78"/>
      <c r="Q34" s="78"/>
      <c r="R34" s="78"/>
      <c r="S34" s="78"/>
      <c r="T34" s="78"/>
      <c r="U34" s="78"/>
      <c r="V34" s="78"/>
    </row>
    <row r="35" ht="15.75" customHeight="1">
      <c r="B35" s="94" t="s">
        <v>113</v>
      </c>
      <c r="C35" s="95">
        <v>897.48</v>
      </c>
      <c r="D35" s="95">
        <v>699.17</v>
      </c>
      <c r="E35" s="95">
        <v>601.98</v>
      </c>
      <c r="F35" s="98">
        <v>1031.81</v>
      </c>
      <c r="G35" s="96">
        <v>879.55</v>
      </c>
      <c r="I35" s="88" t="s">
        <v>114</v>
      </c>
      <c r="J35" s="101">
        <v>2222.73</v>
      </c>
      <c r="K35" s="101">
        <v>2209.31</v>
      </c>
      <c r="L35" s="101">
        <v>3002.65</v>
      </c>
      <c r="M35" s="101">
        <v>3990.34</v>
      </c>
      <c r="N35" s="90">
        <v>977.41</v>
      </c>
      <c r="P35" s="78"/>
      <c r="Q35" s="78"/>
      <c r="R35" s="78"/>
      <c r="S35" s="78"/>
      <c r="T35" s="78"/>
      <c r="U35" s="78"/>
      <c r="V35" s="78"/>
    </row>
    <row r="36" ht="15.75" customHeight="1">
      <c r="B36" s="94" t="s">
        <v>115</v>
      </c>
      <c r="C36" s="98">
        <v>14328.39</v>
      </c>
      <c r="D36" s="98">
        <v>10784.79</v>
      </c>
      <c r="E36" s="98">
        <v>7703.43</v>
      </c>
      <c r="F36" s="98">
        <v>7395.27</v>
      </c>
      <c r="G36" s="99">
        <v>8105.58</v>
      </c>
      <c r="I36" s="88" t="s">
        <v>116</v>
      </c>
      <c r="J36" s="101">
        <v>16747.87</v>
      </c>
      <c r="K36" s="101">
        <v>16357.95</v>
      </c>
      <c r="L36" s="101">
        <v>16751.71</v>
      </c>
      <c r="M36" s="101">
        <v>16813.3</v>
      </c>
      <c r="N36" s="102">
        <v>13997.39</v>
      </c>
      <c r="P36" s="78"/>
      <c r="Q36" s="78"/>
      <c r="R36" s="78"/>
      <c r="S36" s="78"/>
      <c r="T36" s="78"/>
      <c r="U36" s="78"/>
      <c r="V36" s="78"/>
    </row>
    <row r="37" ht="15.75" customHeight="1">
      <c r="I37" s="91"/>
      <c r="J37" s="92"/>
      <c r="K37" s="92"/>
      <c r="L37" s="92"/>
      <c r="M37" s="92"/>
      <c r="N37" s="93"/>
      <c r="O37" s="104"/>
      <c r="P37" s="103"/>
      <c r="Q37" s="103"/>
      <c r="R37" s="103"/>
      <c r="S37" s="103"/>
      <c r="T37" s="78"/>
      <c r="U37" s="78"/>
      <c r="V37" s="78"/>
    </row>
    <row r="38" ht="15.75" customHeight="1">
      <c r="B38" s="97" t="s">
        <v>118</v>
      </c>
      <c r="C38" s="18"/>
      <c r="D38" s="89"/>
      <c r="E38" s="89"/>
      <c r="F38" s="89"/>
      <c r="G38" s="90"/>
      <c r="I38" s="94" t="s">
        <v>119</v>
      </c>
      <c r="J38" s="98">
        <v>1388.48</v>
      </c>
      <c r="K38" s="98">
        <v>1108.49</v>
      </c>
      <c r="L38" s="98">
        <v>1791.95</v>
      </c>
      <c r="M38" s="98">
        <v>1681.87</v>
      </c>
      <c r="N38" s="99">
        <v>1657.69</v>
      </c>
      <c r="P38" s="78"/>
      <c r="Q38" s="78"/>
      <c r="R38" s="78"/>
      <c r="S38" s="78"/>
      <c r="T38" s="78"/>
      <c r="U38" s="78"/>
      <c r="V38" s="78"/>
    </row>
    <row r="39" ht="15.75" customHeight="1">
      <c r="B39" s="94" t="s">
        <v>120</v>
      </c>
      <c r="C39" s="98">
        <v>61627.28</v>
      </c>
      <c r="D39" s="98">
        <v>61627.28</v>
      </c>
      <c r="E39" s="98">
        <v>61627.28</v>
      </c>
      <c r="F39" s="98">
        <v>61627.28</v>
      </c>
      <c r="G39" s="99">
        <v>61627.28</v>
      </c>
      <c r="I39" s="94" t="s">
        <v>121</v>
      </c>
      <c r="J39" s="95">
        <v>27.11</v>
      </c>
      <c r="K39" s="95">
        <v>26.54</v>
      </c>
      <c r="L39" s="95">
        <v>27.18</v>
      </c>
      <c r="M39" s="95">
        <v>27.28</v>
      </c>
      <c r="N39" s="96">
        <v>22.71</v>
      </c>
      <c r="P39" s="78"/>
      <c r="Q39" s="78"/>
      <c r="R39" s="78"/>
      <c r="S39" s="78"/>
      <c r="T39" s="78"/>
      <c r="U39" s="78"/>
      <c r="V39" s="78"/>
    </row>
    <row r="40" ht="15.75" customHeight="1">
      <c r="B40" s="88" t="s">
        <v>122</v>
      </c>
      <c r="C40" s="89">
        <v>24.02</v>
      </c>
      <c r="D40" s="89">
        <v>18.18</v>
      </c>
      <c r="E40" s="89">
        <v>12.4</v>
      </c>
      <c r="F40" s="89">
        <v>18.31</v>
      </c>
      <c r="G40" s="90">
        <v>16.99</v>
      </c>
      <c r="I40" s="91"/>
      <c r="J40" s="92"/>
      <c r="K40" s="92"/>
      <c r="L40" s="92"/>
      <c r="M40" s="92"/>
      <c r="N40" s="93"/>
      <c r="P40" s="78"/>
      <c r="Q40" s="78"/>
      <c r="R40" s="78"/>
      <c r="S40" s="78"/>
      <c r="T40" s="78"/>
      <c r="U40" s="78"/>
      <c r="V40" s="78"/>
    </row>
    <row r="41" ht="15.75" customHeight="1">
      <c r="B41" s="94" t="s">
        <v>123</v>
      </c>
      <c r="C41" s="95">
        <v>242.5</v>
      </c>
      <c r="D41" s="95">
        <v>170.0</v>
      </c>
      <c r="E41" s="95">
        <v>160.0</v>
      </c>
      <c r="F41" s="95">
        <v>120.0</v>
      </c>
      <c r="G41" s="96">
        <v>131.0</v>
      </c>
      <c r="I41" s="91"/>
      <c r="J41" s="92"/>
      <c r="K41" s="92"/>
      <c r="L41" s="92"/>
      <c r="M41" s="92"/>
      <c r="N41" s="93"/>
      <c r="P41" s="78"/>
      <c r="Q41" s="78"/>
      <c r="R41" s="78"/>
      <c r="S41" s="78"/>
      <c r="T41" s="78"/>
      <c r="U41" s="78"/>
      <c r="V41" s="78"/>
    </row>
    <row r="42" ht="15.75" customHeight="1">
      <c r="B42" s="105" t="s">
        <v>121</v>
      </c>
      <c r="C42" s="106">
        <v>27.11</v>
      </c>
      <c r="D42" s="106">
        <v>26.54</v>
      </c>
      <c r="E42" s="106">
        <v>27.18</v>
      </c>
      <c r="F42" s="106">
        <v>27.28</v>
      </c>
      <c r="G42" s="107">
        <v>22.71</v>
      </c>
      <c r="I42" s="108"/>
      <c r="J42" s="109"/>
      <c r="K42" s="109"/>
      <c r="L42" s="109"/>
      <c r="M42" s="109"/>
      <c r="N42" s="110"/>
      <c r="P42" s="78"/>
      <c r="Q42" s="78"/>
      <c r="R42" s="78"/>
      <c r="S42" s="78"/>
      <c r="T42" s="78"/>
      <c r="U42" s="78"/>
      <c r="V42" s="78"/>
    </row>
    <row r="43" ht="15.75" customHeight="1">
      <c r="P43" s="78"/>
      <c r="Q43" s="78"/>
      <c r="R43" s="78"/>
      <c r="S43" s="78"/>
      <c r="T43" s="78"/>
      <c r="U43" s="78"/>
      <c r="V43" s="78"/>
    </row>
    <row r="44" ht="15.75" customHeight="1">
      <c r="B44" s="100" t="s">
        <v>124</v>
      </c>
      <c r="C44" s="100">
        <v>214.0</v>
      </c>
      <c r="D44" s="100">
        <v>183.0</v>
      </c>
      <c r="E44" s="100">
        <v>131.0</v>
      </c>
      <c r="F44" s="100">
        <v>138.0</v>
      </c>
      <c r="G44" s="100">
        <v>238.0</v>
      </c>
      <c r="P44" s="78"/>
      <c r="Q44" s="78"/>
      <c r="R44" s="78"/>
      <c r="S44" s="78"/>
      <c r="T44" s="78"/>
      <c r="U44" s="78"/>
      <c r="V44" s="78"/>
    </row>
    <row r="45" ht="15.75" customHeight="1">
      <c r="P45" s="78"/>
      <c r="Q45" s="78"/>
      <c r="R45" s="78"/>
      <c r="S45" s="78"/>
      <c r="T45" s="78"/>
      <c r="U45" s="78"/>
      <c r="V45" s="78"/>
    </row>
    <row r="46" ht="15.75" customHeight="1">
      <c r="P46" s="78"/>
      <c r="Q46" s="78"/>
      <c r="R46" s="78"/>
      <c r="S46" s="78"/>
      <c r="T46" s="78"/>
      <c r="U46" s="78"/>
      <c r="V46" s="78"/>
    </row>
    <row r="47" ht="15.75" customHeight="1">
      <c r="P47" s="78"/>
      <c r="Q47" s="78"/>
      <c r="R47" s="78"/>
      <c r="S47" s="78"/>
      <c r="T47" s="78"/>
      <c r="U47" s="78"/>
      <c r="V47" s="78"/>
    </row>
    <row r="48" ht="15.75" customHeight="1">
      <c r="P48" s="78"/>
      <c r="Q48" s="78"/>
      <c r="R48" s="78"/>
      <c r="S48" s="78"/>
      <c r="T48" s="78"/>
      <c r="U48" s="78"/>
      <c r="V48" s="78"/>
    </row>
    <row r="49" ht="15.75" customHeight="1">
      <c r="P49" s="78"/>
      <c r="Q49" s="78"/>
      <c r="R49" s="78"/>
      <c r="S49" s="78"/>
      <c r="T49" s="78"/>
      <c r="U49" s="78"/>
      <c r="V49" s="78"/>
    </row>
    <row r="50" ht="15.75" customHeight="1">
      <c r="P50" s="78"/>
      <c r="Q50" s="78"/>
      <c r="R50" s="78"/>
      <c r="S50" s="78"/>
      <c r="T50" s="78"/>
      <c r="U50" s="78"/>
      <c r="V50" s="78"/>
    </row>
    <row r="51" ht="15.75" customHeight="1">
      <c r="P51" s="78"/>
      <c r="Q51" s="78"/>
      <c r="R51" s="78"/>
      <c r="S51" s="78"/>
      <c r="T51" s="78"/>
      <c r="U51" s="78"/>
      <c r="V51" s="78"/>
    </row>
    <row r="52" ht="15.75" customHeight="1">
      <c r="P52" s="78"/>
      <c r="Q52" s="78"/>
      <c r="R52" s="78"/>
      <c r="S52" s="78"/>
      <c r="T52" s="78"/>
      <c r="U52" s="78"/>
      <c r="V52" s="78"/>
    </row>
    <row r="53" ht="15.75" customHeight="1">
      <c r="P53" s="78"/>
      <c r="Q53" s="78"/>
      <c r="R53" s="78"/>
      <c r="S53" s="78"/>
      <c r="T53" s="78"/>
      <c r="U53" s="78"/>
      <c r="V53" s="78"/>
    </row>
    <row r="54" ht="15.75" customHeight="1">
      <c r="P54" s="78"/>
      <c r="Q54" s="78"/>
      <c r="R54" s="78"/>
      <c r="S54" s="78"/>
      <c r="T54" s="78"/>
      <c r="U54" s="78"/>
      <c r="V54" s="78"/>
    </row>
    <row r="55" ht="15.75" customHeight="1">
      <c r="P55" s="78"/>
      <c r="Q55" s="78"/>
      <c r="R55" s="78"/>
      <c r="S55" s="78"/>
      <c r="T55" s="78"/>
      <c r="U55" s="78"/>
      <c r="V55" s="78"/>
    </row>
    <row r="56" ht="15.75" customHeight="1">
      <c r="P56" s="78"/>
      <c r="Q56" s="78"/>
      <c r="R56" s="78"/>
      <c r="S56" s="78"/>
      <c r="T56" s="78"/>
      <c r="U56" s="78"/>
      <c r="V56" s="78"/>
    </row>
    <row r="57" ht="15.75" customHeight="1">
      <c r="P57" s="78"/>
      <c r="Q57" s="78"/>
      <c r="R57" s="78"/>
      <c r="S57" s="78"/>
      <c r="T57" s="78"/>
      <c r="U57" s="78"/>
      <c r="V57" s="78"/>
    </row>
    <row r="58" ht="15.75" customHeight="1">
      <c r="P58" s="78"/>
      <c r="Q58" s="78"/>
      <c r="R58" s="78"/>
      <c r="S58" s="78"/>
      <c r="T58" s="78"/>
      <c r="U58" s="78"/>
      <c r="V58" s="78"/>
    </row>
    <row r="59" ht="15.75" customHeight="1">
      <c r="P59" s="78"/>
      <c r="Q59" s="78"/>
      <c r="R59" s="78"/>
      <c r="S59" s="78"/>
      <c r="T59" s="78"/>
      <c r="U59" s="78"/>
      <c r="V59" s="78"/>
    </row>
    <row r="60" ht="15.75" customHeight="1">
      <c r="P60" s="78"/>
      <c r="Q60" s="78"/>
      <c r="R60" s="78"/>
      <c r="S60" s="78"/>
      <c r="T60" s="78"/>
      <c r="U60" s="78"/>
      <c r="V60" s="78"/>
    </row>
    <row r="61" ht="15.75" customHeight="1">
      <c r="P61" s="78"/>
      <c r="Q61" s="78"/>
      <c r="R61" s="78"/>
      <c r="S61" s="78"/>
      <c r="T61" s="78"/>
      <c r="U61" s="78"/>
      <c r="V61" s="78"/>
    </row>
    <row r="62" ht="15.75" customHeight="1">
      <c r="P62" s="78"/>
      <c r="Q62" s="78"/>
      <c r="R62" s="78"/>
      <c r="S62" s="78"/>
      <c r="T62" s="78"/>
      <c r="U62" s="78"/>
      <c r="V62" s="78"/>
    </row>
    <row r="63" ht="15.75" customHeight="1">
      <c r="P63" s="78"/>
      <c r="Q63" s="78"/>
      <c r="R63" s="78"/>
      <c r="S63" s="78"/>
      <c r="T63" s="78"/>
      <c r="U63" s="78"/>
      <c r="V63" s="78"/>
    </row>
    <row r="64" ht="15.75" customHeight="1">
      <c r="P64" s="78"/>
      <c r="Q64" s="78"/>
      <c r="R64" s="78"/>
      <c r="S64" s="78"/>
      <c r="T64" s="78"/>
      <c r="U64" s="78"/>
      <c r="V64" s="78"/>
    </row>
    <row r="65" ht="15.75" customHeight="1">
      <c r="P65" s="78"/>
      <c r="Q65" s="78"/>
      <c r="R65" s="78"/>
      <c r="S65" s="78"/>
      <c r="T65" s="78"/>
      <c r="U65" s="78"/>
      <c r="V65" s="78"/>
    </row>
    <row r="66" ht="15.75" customHeight="1">
      <c r="P66" s="78"/>
      <c r="Q66" s="78"/>
      <c r="R66" s="78"/>
      <c r="S66" s="78"/>
      <c r="T66" s="78"/>
      <c r="U66" s="78"/>
      <c r="V66" s="78"/>
    </row>
    <row r="67" ht="15.75" customHeight="1">
      <c r="P67" s="78"/>
      <c r="Q67" s="78"/>
      <c r="R67" s="78"/>
      <c r="S67" s="78"/>
      <c r="T67" s="78"/>
      <c r="U67" s="78"/>
      <c r="V67" s="78"/>
    </row>
    <row r="68" ht="15.75" customHeight="1">
      <c r="P68" s="78"/>
      <c r="Q68" s="78"/>
      <c r="R68" s="78"/>
      <c r="S68" s="78"/>
      <c r="T68" s="78"/>
      <c r="U68" s="78"/>
      <c r="V68" s="78"/>
    </row>
    <row r="69" ht="15.75" customHeight="1">
      <c r="P69" s="78"/>
      <c r="Q69" s="78"/>
      <c r="R69" s="78"/>
      <c r="S69" s="78"/>
      <c r="T69" s="78"/>
      <c r="U69" s="78"/>
      <c r="V69" s="78"/>
    </row>
    <row r="70" ht="15.75" customHeight="1">
      <c r="P70" s="78"/>
      <c r="Q70" s="78"/>
      <c r="R70" s="78"/>
      <c r="S70" s="78"/>
      <c r="T70" s="78"/>
      <c r="U70" s="78"/>
      <c r="V70" s="78"/>
    </row>
    <row r="71" ht="15.75" customHeight="1">
      <c r="P71" s="78"/>
      <c r="Q71" s="78"/>
      <c r="R71" s="78"/>
      <c r="S71" s="78"/>
      <c r="T71" s="78"/>
      <c r="U71" s="78"/>
      <c r="V71" s="78"/>
    </row>
    <row r="72" ht="15.75" customHeight="1">
      <c r="P72" s="78"/>
      <c r="Q72" s="78"/>
      <c r="R72" s="78"/>
      <c r="S72" s="78"/>
      <c r="T72" s="78"/>
      <c r="U72" s="78"/>
      <c r="V72" s="78"/>
    </row>
    <row r="73" ht="15.75" customHeight="1">
      <c r="P73" s="78"/>
      <c r="Q73" s="78"/>
      <c r="R73" s="78"/>
      <c r="S73" s="78"/>
      <c r="T73" s="78"/>
      <c r="U73" s="78"/>
      <c r="V73" s="78"/>
    </row>
    <row r="74" ht="15.75" customHeight="1">
      <c r="P74" s="78"/>
      <c r="Q74" s="78"/>
      <c r="R74" s="78"/>
      <c r="S74" s="78"/>
      <c r="T74" s="78"/>
      <c r="U74" s="78"/>
      <c r="V74" s="78"/>
    </row>
    <row r="75" ht="15.75" customHeight="1">
      <c r="P75" s="78"/>
      <c r="Q75" s="78"/>
      <c r="R75" s="78"/>
      <c r="S75" s="78"/>
      <c r="T75" s="78"/>
      <c r="U75" s="78"/>
      <c r="V75" s="78"/>
    </row>
    <row r="76" ht="15.75" customHeight="1">
      <c r="P76" s="78"/>
      <c r="Q76" s="78"/>
      <c r="R76" s="78"/>
      <c r="S76" s="78"/>
      <c r="T76" s="78"/>
      <c r="U76" s="78"/>
      <c r="V76" s="78"/>
    </row>
    <row r="77" ht="15.75" customHeight="1">
      <c r="P77" s="78"/>
      <c r="Q77" s="78"/>
      <c r="R77" s="78"/>
      <c r="S77" s="78"/>
      <c r="T77" s="78"/>
      <c r="U77" s="78"/>
      <c r="V77" s="78"/>
    </row>
    <row r="78" ht="15.75" customHeight="1">
      <c r="P78" s="78"/>
      <c r="Q78" s="78"/>
      <c r="R78" s="78"/>
      <c r="S78" s="78"/>
      <c r="T78" s="78"/>
      <c r="U78" s="78"/>
      <c r="V78" s="78"/>
    </row>
    <row r="79" ht="15.75" customHeight="1">
      <c r="P79" s="78"/>
      <c r="Q79" s="78"/>
      <c r="R79" s="78"/>
      <c r="S79" s="78"/>
      <c r="T79" s="78"/>
      <c r="U79" s="78"/>
      <c r="V79" s="78"/>
    </row>
    <row r="80" ht="15.75" customHeight="1">
      <c r="P80" s="78"/>
      <c r="Q80" s="78"/>
      <c r="R80" s="78"/>
      <c r="S80" s="78"/>
      <c r="T80" s="78"/>
      <c r="U80" s="78"/>
      <c r="V80" s="78"/>
    </row>
    <row r="81" ht="15.75" customHeight="1">
      <c r="P81" s="78"/>
      <c r="Q81" s="78"/>
      <c r="R81" s="78"/>
      <c r="S81" s="78"/>
      <c r="T81" s="78"/>
      <c r="U81" s="78"/>
      <c r="V81" s="78"/>
    </row>
    <row r="82" ht="15.75" customHeight="1">
      <c r="P82" s="78"/>
      <c r="Q82" s="78"/>
      <c r="R82" s="78"/>
      <c r="S82" s="78"/>
      <c r="T82" s="78"/>
      <c r="U82" s="78"/>
      <c r="V82" s="78"/>
    </row>
    <row r="83" ht="15.75" customHeight="1">
      <c r="P83" s="78"/>
      <c r="Q83" s="78"/>
      <c r="R83" s="78"/>
      <c r="S83" s="78"/>
      <c r="T83" s="78"/>
      <c r="U83" s="78"/>
      <c r="V83" s="78"/>
    </row>
    <row r="84" ht="15.75" customHeight="1">
      <c r="P84" s="78"/>
      <c r="Q84" s="78"/>
      <c r="R84" s="78"/>
      <c r="S84" s="78"/>
      <c r="T84" s="78"/>
      <c r="U84" s="78"/>
      <c r="V84" s="78"/>
    </row>
    <row r="85" ht="15.75" customHeight="1">
      <c r="P85" s="78"/>
      <c r="Q85" s="78"/>
      <c r="R85" s="78"/>
      <c r="S85" s="78"/>
      <c r="T85" s="78"/>
      <c r="U85" s="78"/>
      <c r="V85" s="78"/>
    </row>
    <row r="86" ht="15.75" customHeight="1">
      <c r="P86" s="78"/>
      <c r="Q86" s="78"/>
      <c r="R86" s="78"/>
      <c r="S86" s="78"/>
      <c r="T86" s="78"/>
      <c r="U86" s="78"/>
      <c r="V86" s="78"/>
    </row>
    <row r="87" ht="15.75" customHeight="1">
      <c r="P87" s="78"/>
      <c r="Q87" s="78"/>
      <c r="R87" s="78"/>
      <c r="S87" s="78"/>
      <c r="T87" s="78"/>
      <c r="U87" s="78"/>
      <c r="V87" s="78"/>
    </row>
    <row r="88" ht="15.75" customHeight="1">
      <c r="P88" s="78"/>
      <c r="Q88" s="78"/>
      <c r="R88" s="78"/>
      <c r="S88" s="78"/>
      <c r="T88" s="78"/>
      <c r="U88" s="78"/>
      <c r="V88" s="78"/>
    </row>
    <row r="89" ht="15.75" customHeight="1">
      <c r="P89" s="78"/>
      <c r="Q89" s="78"/>
      <c r="R89" s="78"/>
      <c r="S89" s="78"/>
      <c r="T89" s="78"/>
      <c r="U89" s="78"/>
      <c r="V89" s="78"/>
    </row>
    <row r="90" ht="15.75" customHeight="1">
      <c r="P90" s="78"/>
      <c r="Q90" s="78"/>
      <c r="R90" s="78"/>
      <c r="S90" s="78"/>
      <c r="T90" s="78"/>
      <c r="U90" s="78"/>
      <c r="V90" s="78"/>
    </row>
    <row r="91" ht="15.75" customHeight="1">
      <c r="P91" s="78"/>
      <c r="Q91" s="78"/>
      <c r="R91" s="78"/>
      <c r="S91" s="78"/>
      <c r="T91" s="78"/>
      <c r="U91" s="78"/>
      <c r="V91" s="78"/>
    </row>
    <row r="92" ht="15.75" customHeight="1">
      <c r="P92" s="78"/>
      <c r="Q92" s="78"/>
      <c r="R92" s="78"/>
      <c r="S92" s="78"/>
      <c r="T92" s="78"/>
      <c r="U92" s="78"/>
      <c r="V92" s="78"/>
    </row>
    <row r="93" ht="15.75" customHeight="1">
      <c r="P93" s="78"/>
      <c r="Q93" s="78"/>
      <c r="R93" s="78"/>
      <c r="S93" s="78"/>
      <c r="T93" s="78"/>
      <c r="U93" s="78"/>
      <c r="V93" s="78"/>
    </row>
    <row r="94" ht="15.75" customHeight="1">
      <c r="P94" s="78"/>
      <c r="Q94" s="78"/>
      <c r="R94" s="78"/>
      <c r="S94" s="78"/>
      <c r="T94" s="78"/>
      <c r="U94" s="78"/>
      <c r="V94" s="78"/>
    </row>
    <row r="95" ht="15.75" customHeight="1">
      <c r="P95" s="78"/>
      <c r="Q95" s="78"/>
      <c r="R95" s="78"/>
      <c r="S95" s="78"/>
      <c r="T95" s="78"/>
      <c r="U95" s="78"/>
      <c r="V95" s="78"/>
    </row>
    <row r="96" ht="15.75" customHeight="1">
      <c r="P96" s="78"/>
      <c r="Q96" s="78"/>
      <c r="R96" s="78"/>
      <c r="S96" s="78"/>
      <c r="T96" s="78"/>
      <c r="U96" s="78"/>
      <c r="V96" s="78"/>
    </row>
    <row r="97" ht="15.75" customHeight="1">
      <c r="P97" s="78"/>
      <c r="Q97" s="78"/>
      <c r="R97" s="78"/>
      <c r="S97" s="78"/>
      <c r="T97" s="78"/>
      <c r="U97" s="78"/>
      <c r="V97" s="78"/>
    </row>
    <row r="98" ht="15.75" customHeight="1">
      <c r="P98" s="78"/>
      <c r="Q98" s="78"/>
      <c r="R98" s="78"/>
      <c r="S98" s="78"/>
      <c r="T98" s="78"/>
      <c r="U98" s="78"/>
      <c r="V98" s="78"/>
    </row>
    <row r="99" ht="15.75" customHeight="1">
      <c r="P99" s="78"/>
      <c r="Q99" s="78"/>
      <c r="R99" s="78"/>
      <c r="S99" s="78"/>
      <c r="T99" s="78"/>
      <c r="U99" s="78"/>
      <c r="V99" s="78"/>
    </row>
    <row r="100" ht="15.75" customHeight="1">
      <c r="P100" s="78"/>
      <c r="Q100" s="78"/>
      <c r="R100" s="78"/>
      <c r="S100" s="78"/>
      <c r="T100" s="78"/>
      <c r="U100" s="78"/>
      <c r="V100" s="78"/>
    </row>
    <row r="101" ht="15.75" customHeight="1">
      <c r="P101" s="78"/>
      <c r="Q101" s="78"/>
      <c r="R101" s="78"/>
      <c r="S101" s="78"/>
      <c r="T101" s="78"/>
      <c r="U101" s="78"/>
      <c r="V101" s="78"/>
    </row>
    <row r="102" ht="15.75" customHeight="1">
      <c r="P102" s="78"/>
      <c r="Q102" s="78"/>
      <c r="R102" s="78"/>
      <c r="S102" s="78"/>
      <c r="T102" s="78"/>
      <c r="U102" s="78"/>
      <c r="V102" s="78"/>
    </row>
    <row r="103" ht="15.75" customHeight="1">
      <c r="P103" s="78"/>
      <c r="Q103" s="78"/>
      <c r="R103" s="78"/>
      <c r="S103" s="78"/>
      <c r="T103" s="78"/>
      <c r="U103" s="78"/>
      <c r="V103" s="78"/>
    </row>
    <row r="104" ht="15.75" customHeight="1">
      <c r="P104" s="78"/>
      <c r="Q104" s="78"/>
      <c r="R104" s="78"/>
      <c r="S104" s="78"/>
      <c r="T104" s="78"/>
      <c r="U104" s="78"/>
      <c r="V104" s="78"/>
    </row>
    <row r="105" ht="15.75" customHeight="1">
      <c r="P105" s="78"/>
      <c r="Q105" s="78"/>
      <c r="R105" s="78"/>
      <c r="S105" s="78"/>
      <c r="T105" s="78"/>
      <c r="U105" s="78"/>
      <c r="V105" s="78"/>
    </row>
    <row r="106" ht="15.75" customHeight="1">
      <c r="P106" s="78"/>
      <c r="Q106" s="78"/>
      <c r="R106" s="78"/>
      <c r="S106" s="78"/>
      <c r="T106" s="78"/>
      <c r="U106" s="78"/>
      <c r="V106" s="78"/>
    </row>
    <row r="107" ht="15.75" customHeight="1">
      <c r="P107" s="78"/>
      <c r="Q107" s="78"/>
      <c r="R107" s="78"/>
      <c r="S107" s="78"/>
      <c r="T107" s="78"/>
      <c r="U107" s="78"/>
      <c r="V107" s="78"/>
    </row>
    <row r="108" ht="15.75" customHeight="1">
      <c r="P108" s="78"/>
      <c r="Q108" s="78"/>
      <c r="R108" s="78"/>
      <c r="S108" s="78"/>
      <c r="T108" s="78"/>
      <c r="U108" s="78"/>
      <c r="V108" s="78"/>
    </row>
    <row r="109" ht="15.75" customHeight="1">
      <c r="P109" s="78"/>
      <c r="Q109" s="78"/>
      <c r="R109" s="78"/>
      <c r="S109" s="78"/>
      <c r="T109" s="78"/>
      <c r="U109" s="78"/>
      <c r="V109" s="78"/>
    </row>
    <row r="110" ht="15.75" customHeight="1">
      <c r="P110" s="78"/>
      <c r="Q110" s="78"/>
      <c r="R110" s="78"/>
      <c r="S110" s="78"/>
      <c r="T110" s="78"/>
      <c r="U110" s="78"/>
      <c r="V110" s="78"/>
    </row>
    <row r="111" ht="15.75" customHeight="1">
      <c r="P111" s="78"/>
      <c r="Q111" s="78"/>
      <c r="R111" s="78"/>
      <c r="S111" s="78"/>
      <c r="T111" s="78"/>
      <c r="U111" s="78"/>
      <c r="V111" s="78"/>
    </row>
    <row r="112" ht="15.75" customHeight="1">
      <c r="P112" s="78"/>
      <c r="Q112" s="78"/>
      <c r="R112" s="78"/>
      <c r="S112" s="78"/>
      <c r="T112" s="78"/>
      <c r="U112" s="78"/>
      <c r="V112" s="78"/>
    </row>
    <row r="113" ht="15.75" customHeight="1">
      <c r="P113" s="78"/>
      <c r="Q113" s="78"/>
      <c r="R113" s="78"/>
      <c r="S113" s="78"/>
      <c r="T113" s="78"/>
      <c r="U113" s="78"/>
      <c r="V113" s="78"/>
    </row>
    <row r="114" ht="15.75" customHeight="1">
      <c r="P114" s="78"/>
      <c r="Q114" s="78"/>
      <c r="R114" s="78"/>
      <c r="S114" s="78"/>
      <c r="T114" s="78"/>
      <c r="U114" s="78"/>
      <c r="V114" s="78"/>
    </row>
    <row r="115" ht="15.75" customHeight="1">
      <c r="P115" s="78"/>
      <c r="Q115" s="78"/>
      <c r="R115" s="78"/>
      <c r="S115" s="78"/>
      <c r="T115" s="78"/>
      <c r="U115" s="78"/>
      <c r="V115" s="78"/>
    </row>
    <row r="116" ht="15.75" customHeight="1">
      <c r="P116" s="78"/>
      <c r="Q116" s="78"/>
      <c r="R116" s="78"/>
      <c r="S116" s="78"/>
      <c r="T116" s="78"/>
      <c r="U116" s="78"/>
      <c r="V116" s="78"/>
    </row>
    <row r="117" ht="15.75" customHeight="1">
      <c r="P117" s="78"/>
      <c r="Q117" s="78"/>
      <c r="R117" s="78"/>
      <c r="S117" s="78"/>
      <c r="T117" s="78"/>
      <c r="U117" s="78"/>
      <c r="V117" s="78"/>
    </row>
    <row r="118" ht="15.75" customHeight="1">
      <c r="P118" s="78"/>
      <c r="Q118" s="78"/>
      <c r="R118" s="78"/>
      <c r="S118" s="78"/>
      <c r="T118" s="78"/>
      <c r="U118" s="78"/>
      <c r="V118" s="78"/>
    </row>
    <row r="119" ht="15.75" customHeight="1">
      <c r="P119" s="78"/>
      <c r="Q119" s="78"/>
      <c r="R119" s="78"/>
      <c r="S119" s="78"/>
      <c r="T119" s="78"/>
      <c r="U119" s="78"/>
      <c r="V119" s="78"/>
    </row>
    <row r="120" ht="15.75" customHeight="1">
      <c r="P120" s="78"/>
      <c r="Q120" s="78"/>
      <c r="R120" s="78"/>
      <c r="S120" s="78"/>
      <c r="T120" s="78"/>
      <c r="U120" s="78"/>
      <c r="V120" s="78"/>
    </row>
    <row r="121" ht="15.75" customHeight="1">
      <c r="P121" s="78"/>
      <c r="Q121" s="78"/>
      <c r="R121" s="78"/>
      <c r="S121" s="78"/>
      <c r="T121" s="78"/>
      <c r="U121" s="78"/>
      <c r="V121" s="78"/>
    </row>
    <row r="122" ht="15.75" customHeight="1">
      <c r="P122" s="78"/>
      <c r="Q122" s="78"/>
      <c r="R122" s="78"/>
      <c r="S122" s="78"/>
      <c r="T122" s="78"/>
      <c r="U122" s="78"/>
      <c r="V122" s="78"/>
    </row>
    <row r="123" ht="15.75" customHeight="1">
      <c r="P123" s="78"/>
      <c r="Q123" s="78"/>
      <c r="R123" s="78"/>
      <c r="S123" s="78"/>
      <c r="T123" s="78"/>
      <c r="U123" s="78"/>
      <c r="V123" s="78"/>
    </row>
    <row r="124" ht="15.75" customHeight="1">
      <c r="P124" s="78"/>
      <c r="Q124" s="78"/>
      <c r="R124" s="78"/>
      <c r="S124" s="78"/>
      <c r="T124" s="78"/>
      <c r="U124" s="78"/>
      <c r="V124" s="78"/>
    </row>
    <row r="125" ht="15.75" customHeight="1">
      <c r="P125" s="78"/>
      <c r="Q125" s="78"/>
      <c r="R125" s="78"/>
      <c r="S125" s="78"/>
      <c r="T125" s="78"/>
      <c r="U125" s="78"/>
      <c r="V125" s="78"/>
    </row>
    <row r="126" ht="15.75" customHeight="1">
      <c r="P126" s="78"/>
      <c r="Q126" s="78"/>
      <c r="R126" s="78"/>
      <c r="S126" s="78"/>
      <c r="T126" s="78"/>
      <c r="U126" s="78"/>
      <c r="V126" s="78"/>
    </row>
    <row r="127" ht="15.75" customHeight="1">
      <c r="P127" s="78"/>
      <c r="Q127" s="78"/>
      <c r="R127" s="78"/>
      <c r="S127" s="78"/>
      <c r="T127" s="78"/>
      <c r="U127" s="78"/>
      <c r="V127" s="78"/>
    </row>
    <row r="128" ht="15.75" customHeight="1">
      <c r="P128" s="78"/>
      <c r="Q128" s="78"/>
      <c r="R128" s="78"/>
      <c r="S128" s="78"/>
      <c r="T128" s="78"/>
      <c r="U128" s="78"/>
      <c r="V128" s="78"/>
    </row>
    <row r="129" ht="15.75" customHeight="1">
      <c r="P129" s="78"/>
      <c r="Q129" s="78"/>
      <c r="R129" s="78"/>
      <c r="S129" s="78"/>
      <c r="T129" s="78"/>
      <c r="U129" s="78"/>
      <c r="V129" s="78"/>
    </row>
    <row r="130" ht="15.75" customHeight="1">
      <c r="P130" s="78"/>
      <c r="Q130" s="78"/>
      <c r="R130" s="78"/>
      <c r="S130" s="78"/>
      <c r="T130" s="78"/>
      <c r="U130" s="78"/>
      <c r="V130" s="78"/>
    </row>
    <row r="131" ht="15.75" customHeight="1">
      <c r="P131" s="78"/>
      <c r="Q131" s="78"/>
      <c r="R131" s="78"/>
      <c r="S131" s="78"/>
      <c r="T131" s="78"/>
      <c r="U131" s="78"/>
      <c r="V131" s="78"/>
    </row>
    <row r="132" ht="15.75" customHeight="1">
      <c r="P132" s="78"/>
      <c r="Q132" s="78"/>
      <c r="R132" s="78"/>
      <c r="S132" s="78"/>
      <c r="T132" s="78"/>
      <c r="U132" s="78"/>
      <c r="V132" s="78"/>
    </row>
    <row r="133" ht="15.75" customHeight="1">
      <c r="P133" s="78"/>
      <c r="Q133" s="78"/>
      <c r="R133" s="78"/>
      <c r="S133" s="78"/>
      <c r="T133" s="78"/>
      <c r="U133" s="78"/>
      <c r="V133" s="78"/>
    </row>
    <row r="134" ht="15.75" customHeight="1">
      <c r="P134" s="78"/>
      <c r="Q134" s="78"/>
      <c r="R134" s="78"/>
      <c r="S134" s="78"/>
      <c r="T134" s="78"/>
      <c r="U134" s="78"/>
      <c r="V134" s="78"/>
    </row>
    <row r="135" ht="15.75" customHeight="1">
      <c r="P135" s="78"/>
      <c r="Q135" s="78"/>
      <c r="R135" s="78"/>
      <c r="S135" s="78"/>
      <c r="T135" s="78"/>
      <c r="U135" s="78"/>
      <c r="V135" s="78"/>
    </row>
    <row r="136" ht="15.75" customHeight="1">
      <c r="P136" s="78"/>
      <c r="Q136" s="78"/>
      <c r="R136" s="78"/>
      <c r="S136" s="78"/>
      <c r="T136" s="78"/>
      <c r="U136" s="78"/>
      <c r="V136" s="78"/>
    </row>
    <row r="137" ht="15.75" customHeight="1">
      <c r="P137" s="78"/>
      <c r="Q137" s="78"/>
      <c r="R137" s="78"/>
      <c r="S137" s="78"/>
      <c r="T137" s="78"/>
      <c r="U137" s="78"/>
      <c r="V137" s="78"/>
    </row>
    <row r="138" ht="15.75" customHeight="1">
      <c r="P138" s="78"/>
      <c r="Q138" s="78"/>
      <c r="R138" s="78"/>
      <c r="S138" s="78"/>
      <c r="T138" s="78"/>
      <c r="U138" s="78"/>
      <c r="V138" s="78"/>
    </row>
    <row r="139" ht="15.75" customHeight="1">
      <c r="P139" s="78"/>
      <c r="Q139" s="78"/>
      <c r="R139" s="78"/>
      <c r="S139" s="78"/>
      <c r="T139" s="78"/>
      <c r="U139" s="78"/>
      <c r="V139" s="78"/>
    </row>
    <row r="140" ht="15.75" customHeight="1">
      <c r="P140" s="78"/>
      <c r="Q140" s="78"/>
      <c r="R140" s="78"/>
      <c r="S140" s="78"/>
      <c r="T140" s="78"/>
      <c r="U140" s="78"/>
      <c r="V140" s="78"/>
    </row>
    <row r="141" ht="15.75" customHeight="1">
      <c r="P141" s="78"/>
      <c r="Q141" s="78"/>
      <c r="R141" s="78"/>
      <c r="S141" s="78"/>
      <c r="T141" s="78"/>
      <c r="U141" s="78"/>
      <c r="V141" s="78"/>
    </row>
    <row r="142" ht="15.75" customHeight="1">
      <c r="P142" s="78"/>
      <c r="Q142" s="78"/>
      <c r="R142" s="78"/>
      <c r="S142" s="78"/>
      <c r="T142" s="78"/>
      <c r="U142" s="78"/>
      <c r="V142" s="78"/>
    </row>
    <row r="143" ht="15.75" customHeight="1">
      <c r="P143" s="78"/>
      <c r="Q143" s="78"/>
      <c r="R143" s="78"/>
      <c r="S143" s="78"/>
      <c r="T143" s="78"/>
      <c r="U143" s="78"/>
      <c r="V143" s="78"/>
    </row>
    <row r="144" ht="15.75" customHeight="1">
      <c r="P144" s="78"/>
      <c r="Q144" s="78"/>
      <c r="R144" s="78"/>
      <c r="S144" s="78"/>
      <c r="T144" s="78"/>
      <c r="U144" s="78"/>
      <c r="V144" s="78"/>
    </row>
    <row r="145" ht="15.75" customHeight="1">
      <c r="P145" s="78"/>
      <c r="Q145" s="78"/>
      <c r="R145" s="78"/>
      <c r="S145" s="78"/>
      <c r="T145" s="78"/>
      <c r="U145" s="78"/>
      <c r="V145" s="78"/>
    </row>
    <row r="146" ht="15.75" customHeight="1">
      <c r="P146" s="78"/>
      <c r="Q146" s="78"/>
      <c r="R146" s="78"/>
      <c r="S146" s="78"/>
      <c r="T146" s="78"/>
      <c r="U146" s="78"/>
      <c r="V146" s="78"/>
    </row>
    <row r="147" ht="15.75" customHeight="1">
      <c r="P147" s="78"/>
      <c r="Q147" s="78"/>
      <c r="R147" s="78"/>
      <c r="S147" s="78"/>
      <c r="T147" s="78"/>
      <c r="U147" s="78"/>
      <c r="V147" s="78"/>
    </row>
    <row r="148" ht="15.75" customHeight="1">
      <c r="P148" s="78"/>
      <c r="Q148" s="78"/>
      <c r="R148" s="78"/>
      <c r="S148" s="78"/>
      <c r="T148" s="78"/>
      <c r="U148" s="78"/>
      <c r="V148" s="78"/>
    </row>
    <row r="149" ht="15.75" customHeight="1">
      <c r="P149" s="78"/>
      <c r="Q149" s="78"/>
      <c r="R149" s="78"/>
      <c r="S149" s="78"/>
      <c r="T149" s="78"/>
      <c r="U149" s="78"/>
      <c r="V149" s="78"/>
    </row>
    <row r="150" ht="15.75" customHeight="1">
      <c r="P150" s="78"/>
      <c r="Q150" s="78"/>
      <c r="R150" s="78"/>
      <c r="S150" s="78"/>
      <c r="T150" s="78"/>
      <c r="U150" s="78"/>
      <c r="V150" s="78"/>
    </row>
    <row r="151" ht="15.75" customHeight="1">
      <c r="P151" s="78"/>
      <c r="Q151" s="78"/>
      <c r="R151" s="78"/>
      <c r="S151" s="78"/>
      <c r="T151" s="78"/>
      <c r="U151" s="78"/>
      <c r="V151" s="78"/>
    </row>
    <row r="152" ht="15.75" customHeight="1">
      <c r="P152" s="78"/>
      <c r="Q152" s="78"/>
      <c r="R152" s="78"/>
      <c r="S152" s="78"/>
      <c r="T152" s="78"/>
      <c r="U152" s="78"/>
      <c r="V152" s="78"/>
    </row>
    <row r="153" ht="15.75" customHeight="1">
      <c r="P153" s="78"/>
      <c r="Q153" s="78"/>
      <c r="R153" s="78"/>
      <c r="S153" s="78"/>
      <c r="T153" s="78"/>
      <c r="U153" s="78"/>
      <c r="V153" s="78"/>
    </row>
    <row r="154" ht="15.75" customHeight="1">
      <c r="P154" s="78"/>
      <c r="Q154" s="78"/>
      <c r="R154" s="78"/>
      <c r="S154" s="78"/>
      <c r="T154" s="78"/>
      <c r="U154" s="78"/>
      <c r="V154" s="78"/>
    </row>
    <row r="155" ht="15.75" customHeight="1">
      <c r="P155" s="78"/>
      <c r="Q155" s="78"/>
      <c r="R155" s="78"/>
      <c r="S155" s="78"/>
      <c r="T155" s="78"/>
      <c r="U155" s="78"/>
      <c r="V155" s="78"/>
    </row>
    <row r="156" ht="15.75" customHeight="1">
      <c r="P156" s="78"/>
      <c r="Q156" s="78"/>
      <c r="R156" s="78"/>
      <c r="S156" s="78"/>
      <c r="T156" s="78"/>
      <c r="U156" s="78"/>
      <c r="V156" s="78"/>
    </row>
    <row r="157" ht="15.75" customHeight="1">
      <c r="P157" s="78"/>
      <c r="Q157" s="78"/>
      <c r="R157" s="78"/>
      <c r="S157" s="78"/>
      <c r="T157" s="78"/>
      <c r="U157" s="78"/>
      <c r="V157" s="78"/>
    </row>
    <row r="158" ht="15.75" customHeight="1">
      <c r="P158" s="78"/>
      <c r="Q158" s="78"/>
      <c r="R158" s="78"/>
      <c r="S158" s="78"/>
      <c r="T158" s="78"/>
      <c r="U158" s="78"/>
      <c r="V158" s="78"/>
    </row>
    <row r="159" ht="15.75" customHeight="1">
      <c r="P159" s="78"/>
      <c r="Q159" s="78"/>
      <c r="R159" s="78"/>
      <c r="S159" s="78"/>
      <c r="T159" s="78"/>
      <c r="U159" s="78"/>
      <c r="V159" s="78"/>
    </row>
    <row r="160" ht="15.75" customHeight="1">
      <c r="P160" s="78"/>
      <c r="Q160" s="78"/>
      <c r="R160" s="78"/>
      <c r="S160" s="78"/>
      <c r="T160" s="78"/>
      <c r="U160" s="78"/>
      <c r="V160" s="78"/>
    </row>
    <row r="161" ht="15.75" customHeight="1">
      <c r="P161" s="78"/>
      <c r="Q161" s="78"/>
      <c r="R161" s="78"/>
      <c r="S161" s="78"/>
      <c r="T161" s="78"/>
      <c r="U161" s="78"/>
      <c r="V161" s="78"/>
    </row>
    <row r="162" ht="15.75" customHeight="1">
      <c r="P162" s="78"/>
      <c r="Q162" s="78"/>
      <c r="R162" s="78"/>
      <c r="S162" s="78"/>
      <c r="T162" s="78"/>
      <c r="U162" s="78"/>
      <c r="V162" s="78"/>
    </row>
    <row r="163" ht="15.75" customHeight="1">
      <c r="P163" s="78"/>
      <c r="Q163" s="78"/>
      <c r="R163" s="78"/>
      <c r="S163" s="78"/>
      <c r="T163" s="78"/>
      <c r="U163" s="78"/>
      <c r="V163" s="78"/>
    </row>
    <row r="164" ht="15.75" customHeight="1">
      <c r="P164" s="78"/>
      <c r="Q164" s="78"/>
      <c r="R164" s="78"/>
      <c r="S164" s="78"/>
      <c r="T164" s="78"/>
      <c r="U164" s="78"/>
      <c r="V164" s="78"/>
    </row>
    <row r="165" ht="15.75" customHeight="1">
      <c r="P165" s="78"/>
      <c r="Q165" s="78"/>
      <c r="R165" s="78"/>
      <c r="S165" s="78"/>
      <c r="T165" s="78"/>
      <c r="U165" s="78"/>
      <c r="V165" s="78"/>
    </row>
    <row r="166" ht="15.75" customHeight="1">
      <c r="P166" s="78"/>
      <c r="Q166" s="78"/>
      <c r="R166" s="78"/>
      <c r="S166" s="78"/>
      <c r="T166" s="78"/>
      <c r="U166" s="78"/>
      <c r="V166" s="78"/>
    </row>
    <row r="167" ht="15.75" customHeight="1">
      <c r="P167" s="78"/>
      <c r="Q167" s="78"/>
      <c r="R167" s="78"/>
      <c r="S167" s="78"/>
      <c r="T167" s="78"/>
      <c r="U167" s="78"/>
      <c r="V167" s="78"/>
    </row>
    <row r="168" ht="15.75" customHeight="1">
      <c r="P168" s="78"/>
      <c r="Q168" s="78"/>
      <c r="R168" s="78"/>
      <c r="S168" s="78"/>
      <c r="T168" s="78"/>
      <c r="U168" s="78"/>
      <c r="V168" s="78"/>
    </row>
    <row r="169" ht="15.75" customHeight="1">
      <c r="P169" s="78"/>
      <c r="Q169" s="78"/>
      <c r="R169" s="78"/>
      <c r="S169" s="78"/>
      <c r="T169" s="78"/>
      <c r="U169" s="78"/>
      <c r="V169" s="78"/>
    </row>
    <row r="170" ht="15.75" customHeight="1">
      <c r="P170" s="78"/>
      <c r="Q170" s="78"/>
      <c r="R170" s="78"/>
      <c r="S170" s="78"/>
      <c r="T170" s="78"/>
      <c r="U170" s="78"/>
      <c r="V170" s="78"/>
    </row>
    <row r="171" ht="15.75" customHeight="1">
      <c r="P171" s="78"/>
      <c r="Q171" s="78"/>
      <c r="R171" s="78"/>
      <c r="S171" s="78"/>
      <c r="T171" s="78"/>
      <c r="U171" s="78"/>
      <c r="V171" s="78"/>
    </row>
    <row r="172" ht="15.75" customHeight="1">
      <c r="P172" s="78"/>
      <c r="Q172" s="78"/>
      <c r="R172" s="78"/>
      <c r="S172" s="78"/>
      <c r="T172" s="78"/>
      <c r="U172" s="78"/>
      <c r="V172" s="78"/>
    </row>
    <row r="173" ht="15.75" customHeight="1">
      <c r="P173" s="78"/>
      <c r="Q173" s="78"/>
      <c r="R173" s="78"/>
      <c r="S173" s="78"/>
      <c r="T173" s="78"/>
      <c r="U173" s="78"/>
      <c r="V173" s="78"/>
    </row>
    <row r="174" ht="15.75" customHeight="1">
      <c r="P174" s="78"/>
      <c r="Q174" s="78"/>
      <c r="R174" s="78"/>
      <c r="S174" s="78"/>
      <c r="T174" s="78"/>
      <c r="U174" s="78"/>
      <c r="V174" s="78"/>
    </row>
    <row r="175" ht="15.75" customHeight="1">
      <c r="P175" s="78"/>
      <c r="Q175" s="78"/>
      <c r="R175" s="78"/>
      <c r="S175" s="78"/>
      <c r="T175" s="78"/>
      <c r="U175" s="78"/>
      <c r="V175" s="78"/>
    </row>
    <row r="176" ht="15.75" customHeight="1">
      <c r="P176" s="78"/>
      <c r="Q176" s="78"/>
      <c r="R176" s="78"/>
      <c r="S176" s="78"/>
      <c r="T176" s="78"/>
      <c r="U176" s="78"/>
      <c r="V176" s="78"/>
    </row>
    <row r="177" ht="15.75" customHeight="1">
      <c r="P177" s="78"/>
      <c r="Q177" s="78"/>
      <c r="R177" s="78"/>
      <c r="S177" s="78"/>
      <c r="T177" s="78"/>
      <c r="U177" s="78"/>
      <c r="V177" s="78"/>
    </row>
    <row r="178" ht="15.75" customHeight="1">
      <c r="P178" s="78"/>
      <c r="Q178" s="78"/>
      <c r="R178" s="78"/>
      <c r="S178" s="78"/>
      <c r="T178" s="78"/>
      <c r="U178" s="78"/>
      <c r="V178" s="78"/>
    </row>
    <row r="179" ht="15.75" customHeight="1">
      <c r="P179" s="78"/>
      <c r="Q179" s="78"/>
      <c r="R179" s="78"/>
      <c r="S179" s="78"/>
      <c r="T179" s="78"/>
      <c r="U179" s="78"/>
      <c r="V179" s="78"/>
    </row>
    <row r="180" ht="15.75" customHeight="1">
      <c r="P180" s="78"/>
      <c r="Q180" s="78"/>
      <c r="R180" s="78"/>
      <c r="S180" s="78"/>
      <c r="T180" s="78"/>
      <c r="U180" s="78"/>
      <c r="V180" s="78"/>
    </row>
    <row r="181" ht="15.75" customHeight="1">
      <c r="P181" s="78"/>
      <c r="Q181" s="78"/>
      <c r="R181" s="78"/>
      <c r="S181" s="78"/>
      <c r="T181" s="78"/>
      <c r="U181" s="78"/>
      <c r="V181" s="78"/>
    </row>
    <row r="182" ht="15.75" customHeight="1">
      <c r="P182" s="78"/>
      <c r="Q182" s="78"/>
      <c r="R182" s="78"/>
      <c r="S182" s="78"/>
      <c r="T182" s="78"/>
      <c r="U182" s="78"/>
      <c r="V182" s="78"/>
    </row>
    <row r="183" ht="15.75" customHeight="1">
      <c r="P183" s="78"/>
      <c r="Q183" s="78"/>
      <c r="R183" s="78"/>
      <c r="S183" s="78"/>
      <c r="T183" s="78"/>
      <c r="U183" s="78"/>
      <c r="V183" s="78"/>
    </row>
    <row r="184" ht="15.75" customHeight="1">
      <c r="P184" s="78"/>
      <c r="Q184" s="78"/>
      <c r="R184" s="78"/>
      <c r="S184" s="78"/>
      <c r="T184" s="78"/>
      <c r="U184" s="78"/>
      <c r="V184" s="78"/>
    </row>
    <row r="185" ht="15.75" customHeight="1">
      <c r="P185" s="78"/>
      <c r="Q185" s="78"/>
      <c r="R185" s="78"/>
      <c r="S185" s="78"/>
      <c r="T185" s="78"/>
      <c r="U185" s="78"/>
      <c r="V185" s="78"/>
    </row>
    <row r="186" ht="15.75" customHeight="1">
      <c r="P186" s="78"/>
      <c r="Q186" s="78"/>
      <c r="R186" s="78"/>
      <c r="S186" s="78"/>
      <c r="T186" s="78"/>
      <c r="U186" s="78"/>
      <c r="V186" s="78"/>
    </row>
    <row r="187" ht="15.75" customHeight="1">
      <c r="P187" s="78"/>
      <c r="Q187" s="78"/>
      <c r="R187" s="78"/>
      <c r="S187" s="78"/>
      <c r="T187" s="78"/>
      <c r="U187" s="78"/>
      <c r="V187" s="78"/>
    </row>
    <row r="188" ht="15.75" customHeight="1">
      <c r="P188" s="78"/>
      <c r="Q188" s="78"/>
      <c r="R188" s="78"/>
      <c r="S188" s="78"/>
      <c r="T188" s="78"/>
      <c r="U188" s="78"/>
      <c r="V188" s="78"/>
    </row>
    <row r="189" ht="15.75" customHeight="1">
      <c r="P189" s="78"/>
      <c r="Q189" s="78"/>
      <c r="R189" s="78"/>
      <c r="S189" s="78"/>
      <c r="T189" s="78"/>
      <c r="U189" s="78"/>
      <c r="V189" s="78"/>
    </row>
    <row r="190" ht="15.75" customHeight="1">
      <c r="P190" s="78"/>
      <c r="Q190" s="78"/>
      <c r="R190" s="78"/>
      <c r="S190" s="78"/>
      <c r="T190" s="78"/>
      <c r="U190" s="78"/>
      <c r="V190" s="78"/>
    </row>
    <row r="191" ht="15.75" customHeight="1">
      <c r="P191" s="78"/>
      <c r="Q191" s="78"/>
      <c r="R191" s="78"/>
      <c r="S191" s="78"/>
      <c r="T191" s="78"/>
      <c r="U191" s="78"/>
      <c r="V191" s="78"/>
    </row>
    <row r="192" ht="15.75" customHeight="1">
      <c r="P192" s="78"/>
      <c r="Q192" s="78"/>
      <c r="R192" s="78"/>
      <c r="S192" s="78"/>
      <c r="T192" s="78"/>
      <c r="U192" s="78"/>
      <c r="V192" s="78"/>
    </row>
    <row r="193" ht="15.75" customHeight="1">
      <c r="P193" s="78"/>
      <c r="Q193" s="78"/>
      <c r="R193" s="78"/>
      <c r="S193" s="78"/>
      <c r="T193" s="78"/>
      <c r="U193" s="78"/>
      <c r="V193" s="78"/>
    </row>
    <row r="194" ht="15.75" customHeight="1">
      <c r="P194" s="78"/>
      <c r="Q194" s="78"/>
      <c r="R194" s="78"/>
      <c r="S194" s="78"/>
      <c r="T194" s="78"/>
      <c r="U194" s="78"/>
      <c r="V194" s="78"/>
    </row>
    <row r="195" ht="15.75" customHeight="1">
      <c r="P195" s="78"/>
      <c r="Q195" s="78"/>
      <c r="R195" s="78"/>
      <c r="S195" s="78"/>
      <c r="T195" s="78"/>
      <c r="U195" s="78"/>
      <c r="V195" s="78"/>
    </row>
    <row r="196" ht="15.75" customHeight="1">
      <c r="P196" s="78"/>
      <c r="Q196" s="78"/>
      <c r="R196" s="78"/>
      <c r="S196" s="78"/>
      <c r="T196" s="78"/>
      <c r="U196" s="78"/>
      <c r="V196" s="78"/>
    </row>
    <row r="197" ht="15.75" customHeight="1">
      <c r="P197" s="78"/>
      <c r="Q197" s="78"/>
      <c r="R197" s="78"/>
      <c r="S197" s="78"/>
      <c r="T197" s="78"/>
      <c r="U197" s="78"/>
      <c r="V197" s="78"/>
    </row>
    <row r="198" ht="15.75" customHeight="1">
      <c r="P198" s="78"/>
      <c r="Q198" s="78"/>
      <c r="R198" s="78"/>
      <c r="S198" s="78"/>
      <c r="T198" s="78"/>
      <c r="U198" s="78"/>
      <c r="V198" s="78"/>
    </row>
    <row r="199" ht="15.75" customHeight="1">
      <c r="P199" s="78"/>
      <c r="Q199" s="78"/>
      <c r="R199" s="78"/>
      <c r="S199" s="78"/>
      <c r="T199" s="78"/>
      <c r="U199" s="78"/>
      <c r="V199" s="78"/>
    </row>
    <row r="200" ht="15.75" customHeight="1">
      <c r="P200" s="78"/>
      <c r="Q200" s="78"/>
      <c r="R200" s="78"/>
      <c r="S200" s="78"/>
      <c r="T200" s="78"/>
      <c r="U200" s="78"/>
      <c r="V200" s="78"/>
    </row>
    <row r="201" ht="15.75" customHeight="1">
      <c r="P201" s="78"/>
      <c r="Q201" s="78"/>
      <c r="R201" s="78"/>
      <c r="S201" s="78"/>
      <c r="T201" s="78"/>
      <c r="U201" s="78"/>
      <c r="V201" s="78"/>
    </row>
    <row r="202" ht="15.75" customHeight="1">
      <c r="P202" s="78"/>
      <c r="Q202" s="78"/>
      <c r="R202" s="78"/>
      <c r="S202" s="78"/>
      <c r="T202" s="78"/>
      <c r="U202" s="78"/>
      <c r="V202" s="78"/>
    </row>
    <row r="203" ht="15.75" customHeight="1">
      <c r="P203" s="78"/>
      <c r="Q203" s="78"/>
      <c r="R203" s="78"/>
      <c r="S203" s="78"/>
      <c r="T203" s="78"/>
      <c r="U203" s="78"/>
      <c r="V203" s="78"/>
    </row>
    <row r="204" ht="15.75" customHeight="1">
      <c r="P204" s="78"/>
      <c r="Q204" s="78"/>
      <c r="R204" s="78"/>
      <c r="S204" s="78"/>
      <c r="T204" s="78"/>
      <c r="U204" s="78"/>
      <c r="V204" s="78"/>
    </row>
    <row r="205" ht="15.75" customHeight="1">
      <c r="P205" s="78"/>
      <c r="Q205" s="78"/>
      <c r="R205" s="78"/>
      <c r="S205" s="78"/>
      <c r="T205" s="78"/>
      <c r="U205" s="78"/>
      <c r="V205" s="78"/>
    </row>
    <row r="206" ht="15.75" customHeight="1">
      <c r="P206" s="78"/>
      <c r="Q206" s="78"/>
      <c r="R206" s="78"/>
      <c r="S206" s="78"/>
      <c r="T206" s="78"/>
      <c r="U206" s="78"/>
      <c r="V206" s="78"/>
    </row>
    <row r="207" ht="15.75" customHeight="1">
      <c r="P207" s="78"/>
      <c r="Q207" s="78"/>
      <c r="R207" s="78"/>
      <c r="S207" s="78"/>
      <c r="T207" s="78"/>
      <c r="U207" s="78"/>
      <c r="V207" s="78"/>
    </row>
    <row r="208" ht="15.75" customHeight="1">
      <c r="P208" s="78"/>
      <c r="Q208" s="78"/>
      <c r="R208" s="78"/>
      <c r="S208" s="78"/>
      <c r="T208" s="78"/>
      <c r="U208" s="78"/>
      <c r="V208" s="78"/>
    </row>
    <row r="209" ht="15.75" customHeight="1">
      <c r="P209" s="78"/>
      <c r="Q209" s="78"/>
      <c r="R209" s="78"/>
      <c r="S209" s="78"/>
      <c r="T209" s="78"/>
      <c r="U209" s="78"/>
      <c r="V209" s="78"/>
    </row>
    <row r="210" ht="15.75" customHeight="1">
      <c r="P210" s="78"/>
      <c r="Q210" s="78"/>
      <c r="R210" s="78"/>
      <c r="S210" s="78"/>
      <c r="T210" s="78"/>
      <c r="U210" s="78"/>
      <c r="V210" s="78"/>
    </row>
    <row r="211" ht="15.75" customHeight="1">
      <c r="P211" s="78"/>
      <c r="Q211" s="78"/>
      <c r="R211" s="78"/>
      <c r="S211" s="78"/>
      <c r="T211" s="78"/>
      <c r="U211" s="78"/>
      <c r="V211" s="78"/>
    </row>
    <row r="212" ht="15.75" customHeight="1">
      <c r="P212" s="78"/>
      <c r="Q212" s="78"/>
      <c r="R212" s="78"/>
      <c r="S212" s="78"/>
      <c r="T212" s="78"/>
      <c r="U212" s="78"/>
      <c r="V212" s="78"/>
    </row>
    <row r="213" ht="15.75" customHeight="1">
      <c r="P213" s="78"/>
      <c r="Q213" s="78"/>
      <c r="R213" s="78"/>
      <c r="S213" s="78"/>
      <c r="T213" s="78"/>
      <c r="U213" s="78"/>
      <c r="V213" s="78"/>
    </row>
    <row r="214" ht="15.75" customHeight="1">
      <c r="P214" s="78"/>
      <c r="Q214" s="78"/>
      <c r="R214" s="78"/>
      <c r="S214" s="78"/>
      <c r="T214" s="78"/>
      <c r="U214" s="78"/>
      <c r="V214" s="78"/>
    </row>
    <row r="215" ht="15.75" customHeight="1">
      <c r="P215" s="78"/>
      <c r="Q215" s="78"/>
      <c r="R215" s="78"/>
      <c r="S215" s="78"/>
      <c r="T215" s="78"/>
      <c r="U215" s="78"/>
      <c r="V215" s="78"/>
    </row>
    <row r="216" ht="15.75" customHeight="1">
      <c r="P216" s="78"/>
      <c r="Q216" s="78"/>
      <c r="R216" s="78"/>
      <c r="S216" s="78"/>
      <c r="T216" s="78"/>
      <c r="U216" s="78"/>
      <c r="V216" s="78"/>
    </row>
    <row r="217" ht="15.75" customHeight="1">
      <c r="P217" s="78"/>
      <c r="Q217" s="78"/>
      <c r="R217" s="78"/>
      <c r="S217" s="78"/>
      <c r="T217" s="78"/>
      <c r="U217" s="78"/>
      <c r="V217" s="78"/>
    </row>
    <row r="218" ht="15.75" customHeight="1">
      <c r="P218" s="78"/>
      <c r="Q218" s="78"/>
      <c r="R218" s="78"/>
      <c r="S218" s="78"/>
      <c r="T218" s="78"/>
      <c r="U218" s="78"/>
      <c r="V218" s="78"/>
    </row>
    <row r="219" ht="15.75" customHeight="1">
      <c r="P219" s="78"/>
      <c r="Q219" s="78"/>
      <c r="R219" s="78"/>
      <c r="S219" s="78"/>
      <c r="T219" s="78"/>
      <c r="U219" s="78"/>
      <c r="V219" s="78"/>
    </row>
    <row r="220" ht="15.75" customHeight="1">
      <c r="P220" s="78"/>
      <c r="Q220" s="78"/>
      <c r="R220" s="78"/>
      <c r="S220" s="78"/>
      <c r="T220" s="78"/>
      <c r="U220" s="78"/>
      <c r="V220" s="78"/>
    </row>
    <row r="221" ht="15.75" customHeight="1">
      <c r="P221" s="78"/>
      <c r="Q221" s="78"/>
      <c r="R221" s="78"/>
      <c r="S221" s="78"/>
      <c r="T221" s="78"/>
      <c r="U221" s="78"/>
      <c r="V221" s="78"/>
    </row>
    <row r="222" ht="15.75" customHeight="1">
      <c r="P222" s="78"/>
      <c r="Q222" s="78"/>
      <c r="R222" s="78"/>
      <c r="S222" s="78"/>
      <c r="T222" s="78"/>
      <c r="U222" s="78"/>
      <c r="V222" s="78"/>
    </row>
    <row r="223" ht="15.75" customHeight="1">
      <c r="P223" s="78"/>
      <c r="Q223" s="78"/>
      <c r="R223" s="78"/>
      <c r="S223" s="78"/>
      <c r="T223" s="78"/>
      <c r="U223" s="78"/>
      <c r="V223" s="78"/>
    </row>
    <row r="224" ht="15.75" customHeight="1">
      <c r="P224" s="78"/>
      <c r="Q224" s="78"/>
      <c r="R224" s="78"/>
      <c r="S224" s="78"/>
      <c r="T224" s="78"/>
      <c r="U224" s="78"/>
      <c r="V224" s="78"/>
    </row>
    <row r="225" ht="15.75" customHeight="1">
      <c r="P225" s="78"/>
      <c r="Q225" s="78"/>
      <c r="R225" s="78"/>
      <c r="S225" s="78"/>
      <c r="T225" s="78"/>
      <c r="U225" s="78"/>
      <c r="V225" s="78"/>
    </row>
    <row r="226" ht="15.75" customHeight="1">
      <c r="P226" s="78"/>
      <c r="Q226" s="78"/>
      <c r="R226" s="78"/>
      <c r="S226" s="78"/>
      <c r="T226" s="78"/>
      <c r="U226" s="78"/>
      <c r="V226" s="78"/>
    </row>
    <row r="227" ht="15.75" customHeight="1">
      <c r="P227" s="78"/>
      <c r="Q227" s="78"/>
      <c r="R227" s="78"/>
      <c r="S227" s="78"/>
      <c r="T227" s="78"/>
      <c r="U227" s="78"/>
      <c r="V227" s="78"/>
    </row>
    <row r="228" ht="15.75" customHeight="1">
      <c r="P228" s="78"/>
      <c r="Q228" s="78"/>
      <c r="R228" s="78"/>
      <c r="S228" s="78"/>
      <c r="T228" s="78"/>
      <c r="U228" s="78"/>
      <c r="V228" s="78"/>
    </row>
    <row r="229" ht="15.75" customHeight="1">
      <c r="P229" s="78"/>
      <c r="Q229" s="78"/>
      <c r="R229" s="78"/>
      <c r="S229" s="78"/>
      <c r="T229" s="78"/>
      <c r="U229" s="78"/>
      <c r="V229" s="78"/>
    </row>
    <row r="230" ht="15.75" customHeight="1">
      <c r="P230" s="78"/>
      <c r="Q230" s="78"/>
      <c r="R230" s="78"/>
      <c r="S230" s="78"/>
      <c r="T230" s="78"/>
      <c r="U230" s="78"/>
      <c r="V230" s="78"/>
    </row>
    <row r="231" ht="15.75" customHeight="1">
      <c r="P231" s="78"/>
      <c r="Q231" s="78"/>
      <c r="R231" s="78"/>
      <c r="S231" s="78"/>
      <c r="T231" s="78"/>
      <c r="U231" s="78"/>
      <c r="V231" s="78"/>
    </row>
    <row r="232" ht="15.75" customHeight="1">
      <c r="P232" s="78"/>
      <c r="Q232" s="78"/>
      <c r="R232" s="78"/>
      <c r="S232" s="78"/>
      <c r="T232" s="78"/>
      <c r="U232" s="78"/>
      <c r="V232" s="78"/>
    </row>
    <row r="233" ht="15.75" customHeight="1">
      <c r="P233" s="78"/>
      <c r="Q233" s="78"/>
      <c r="R233" s="78"/>
      <c r="S233" s="78"/>
      <c r="T233" s="78"/>
      <c r="U233" s="78"/>
      <c r="V233" s="78"/>
    </row>
    <row r="234" ht="15.75" customHeight="1">
      <c r="P234" s="78"/>
      <c r="Q234" s="78"/>
      <c r="R234" s="78"/>
      <c r="S234" s="78"/>
      <c r="T234" s="78"/>
      <c r="U234" s="78"/>
      <c r="V234" s="78"/>
    </row>
    <row r="235" ht="15.75" customHeight="1">
      <c r="P235" s="78"/>
      <c r="Q235" s="78"/>
      <c r="R235" s="78"/>
      <c r="S235" s="78"/>
      <c r="T235" s="78"/>
      <c r="U235" s="78"/>
      <c r="V235" s="78"/>
    </row>
    <row r="236" ht="15.75" customHeight="1">
      <c r="P236" s="78"/>
      <c r="Q236" s="78"/>
      <c r="R236" s="78"/>
      <c r="S236" s="78"/>
      <c r="T236" s="78"/>
      <c r="U236" s="78"/>
      <c r="V236" s="78"/>
    </row>
    <row r="237" ht="15.75" customHeight="1">
      <c r="P237" s="78"/>
      <c r="Q237" s="78"/>
      <c r="R237" s="78"/>
      <c r="S237" s="78"/>
      <c r="T237" s="78"/>
      <c r="U237" s="78"/>
      <c r="V237" s="78"/>
    </row>
    <row r="238" ht="15.75" customHeight="1">
      <c r="P238" s="78"/>
      <c r="Q238" s="78"/>
      <c r="R238" s="78"/>
      <c r="S238" s="78"/>
      <c r="T238" s="78"/>
      <c r="U238" s="78"/>
      <c r="V238" s="78"/>
    </row>
    <row r="239" ht="15.75" customHeight="1">
      <c r="P239" s="78"/>
      <c r="Q239" s="78"/>
      <c r="R239" s="78"/>
      <c r="S239" s="78"/>
      <c r="T239" s="78"/>
      <c r="U239" s="78"/>
      <c r="V239" s="78"/>
    </row>
    <row r="240" ht="15.75" customHeight="1">
      <c r="P240" s="78"/>
      <c r="Q240" s="78"/>
      <c r="R240" s="78"/>
      <c r="S240" s="78"/>
      <c r="T240" s="78"/>
      <c r="U240" s="78"/>
      <c r="V240" s="78"/>
    </row>
    <row r="241" ht="15.75" customHeight="1">
      <c r="P241" s="78"/>
      <c r="Q241" s="78"/>
      <c r="R241" s="78"/>
      <c r="S241" s="78"/>
      <c r="T241" s="78"/>
      <c r="U241" s="78"/>
      <c r="V241" s="78"/>
    </row>
    <row r="242" ht="15.75" customHeight="1">
      <c r="P242" s="78"/>
      <c r="Q242" s="78"/>
      <c r="R242" s="78"/>
      <c r="S242" s="78"/>
      <c r="T242" s="78"/>
      <c r="U242" s="78"/>
      <c r="V242" s="78"/>
    </row>
    <row r="243" ht="15.75" customHeight="1">
      <c r="P243" s="78"/>
      <c r="Q243" s="78"/>
      <c r="R243" s="78"/>
      <c r="S243" s="78"/>
      <c r="T243" s="78"/>
      <c r="U243" s="78"/>
      <c r="V243" s="78"/>
    </row>
    <row r="244" ht="15.75" customHeight="1">
      <c r="P244" s="78"/>
      <c r="Q244" s="78"/>
      <c r="R244" s="78"/>
      <c r="S244" s="78"/>
      <c r="T244" s="78"/>
      <c r="U244" s="78"/>
      <c r="V244" s="78"/>
    </row>
    <row r="245" ht="15.75" customHeight="1">
      <c r="P245" s="78"/>
      <c r="Q245" s="78"/>
      <c r="R245" s="78"/>
      <c r="S245" s="78"/>
      <c r="T245" s="78"/>
      <c r="U245" s="78"/>
      <c r="V245" s="78"/>
    </row>
    <row r="246" ht="15.75" customHeight="1">
      <c r="P246" s="78"/>
      <c r="Q246" s="78"/>
      <c r="R246" s="78"/>
      <c r="S246" s="78"/>
      <c r="T246" s="78"/>
      <c r="U246" s="78"/>
      <c r="V246" s="78"/>
    </row>
    <row r="247" ht="15.75" customHeight="1">
      <c r="P247" s="78"/>
      <c r="Q247" s="78"/>
      <c r="R247" s="78"/>
      <c r="S247" s="78"/>
      <c r="T247" s="78"/>
      <c r="U247" s="78"/>
      <c r="V247" s="78"/>
    </row>
    <row r="248" ht="15.75" customHeight="1">
      <c r="P248" s="78"/>
      <c r="Q248" s="78"/>
      <c r="R248" s="78"/>
      <c r="S248" s="78"/>
      <c r="T248" s="78"/>
      <c r="U248" s="78"/>
      <c r="V248" s="78"/>
    </row>
    <row r="249" ht="15.75" customHeight="1">
      <c r="P249" s="78"/>
      <c r="Q249" s="78"/>
      <c r="R249" s="78"/>
      <c r="S249" s="78"/>
      <c r="T249" s="78"/>
      <c r="U249" s="78"/>
      <c r="V249" s="78"/>
    </row>
    <row r="250" ht="15.75" customHeight="1">
      <c r="P250" s="78"/>
      <c r="Q250" s="78"/>
      <c r="R250" s="78"/>
      <c r="S250" s="78"/>
      <c r="T250" s="78"/>
      <c r="U250" s="78"/>
      <c r="V250" s="78"/>
    </row>
    <row r="251" ht="15.75" customHeight="1">
      <c r="P251" s="78"/>
      <c r="Q251" s="78"/>
      <c r="R251" s="78"/>
      <c r="S251" s="78"/>
      <c r="T251" s="78"/>
      <c r="U251" s="78"/>
      <c r="V251" s="78"/>
    </row>
    <row r="252" ht="15.75" customHeight="1">
      <c r="P252" s="78"/>
      <c r="Q252" s="78"/>
      <c r="R252" s="78"/>
      <c r="S252" s="78"/>
      <c r="T252" s="78"/>
      <c r="U252" s="78"/>
      <c r="V252" s="78"/>
    </row>
    <row r="253" ht="15.75" customHeight="1">
      <c r="P253" s="78"/>
      <c r="Q253" s="78"/>
      <c r="R253" s="78"/>
      <c r="S253" s="78"/>
      <c r="T253" s="78"/>
      <c r="U253" s="78"/>
      <c r="V253" s="78"/>
    </row>
    <row r="254" ht="15.75" customHeight="1">
      <c r="P254" s="78"/>
      <c r="Q254" s="78"/>
      <c r="R254" s="78"/>
      <c r="S254" s="78"/>
      <c r="T254" s="78"/>
      <c r="U254" s="78"/>
      <c r="V254" s="78"/>
    </row>
    <row r="255" ht="15.75" customHeight="1">
      <c r="P255" s="78"/>
      <c r="Q255" s="78"/>
      <c r="R255" s="78"/>
      <c r="S255" s="78"/>
      <c r="T255" s="78"/>
      <c r="U255" s="78"/>
      <c r="V255" s="78"/>
    </row>
    <row r="256" ht="15.75" customHeight="1">
      <c r="P256" s="78"/>
      <c r="Q256" s="78"/>
      <c r="R256" s="78"/>
      <c r="S256" s="78"/>
      <c r="T256" s="78"/>
      <c r="U256" s="78"/>
      <c r="V256" s="78"/>
    </row>
    <row r="257" ht="15.75" customHeight="1">
      <c r="P257" s="78"/>
      <c r="Q257" s="78"/>
      <c r="R257" s="78"/>
      <c r="S257" s="78"/>
      <c r="T257" s="78"/>
      <c r="U257" s="78"/>
      <c r="V257" s="78"/>
    </row>
    <row r="258" ht="15.75" customHeight="1">
      <c r="P258" s="78"/>
      <c r="Q258" s="78"/>
      <c r="R258" s="78"/>
      <c r="S258" s="78"/>
      <c r="T258" s="78"/>
      <c r="U258" s="78"/>
      <c r="V258" s="78"/>
    </row>
    <row r="259" ht="15.75" customHeight="1">
      <c r="P259" s="78"/>
      <c r="Q259" s="78"/>
      <c r="R259" s="78"/>
      <c r="S259" s="78"/>
      <c r="T259" s="78"/>
      <c r="U259" s="78"/>
      <c r="V259" s="78"/>
    </row>
    <row r="260" ht="15.75" customHeight="1">
      <c r="P260" s="78"/>
      <c r="Q260" s="78"/>
      <c r="R260" s="78"/>
      <c r="S260" s="78"/>
      <c r="T260" s="78"/>
      <c r="U260" s="78"/>
      <c r="V260" s="78"/>
    </row>
    <row r="261" ht="15.75" customHeight="1">
      <c r="P261" s="78"/>
      <c r="Q261" s="78"/>
      <c r="R261" s="78"/>
      <c r="S261" s="78"/>
      <c r="T261" s="78"/>
      <c r="U261" s="78"/>
      <c r="V261" s="78"/>
    </row>
    <row r="262" ht="15.75" customHeight="1">
      <c r="P262" s="78"/>
      <c r="Q262" s="78"/>
      <c r="R262" s="78"/>
      <c r="S262" s="78"/>
      <c r="T262" s="78"/>
      <c r="U262" s="78"/>
      <c r="V262" s="78"/>
    </row>
    <row r="263" ht="15.75" customHeight="1">
      <c r="P263" s="78"/>
      <c r="Q263" s="78"/>
      <c r="R263" s="78"/>
      <c r="S263" s="78"/>
      <c r="T263" s="78"/>
      <c r="U263" s="78"/>
      <c r="V263" s="78"/>
    </row>
    <row r="264" ht="15.75" customHeight="1">
      <c r="P264" s="78"/>
      <c r="Q264" s="78"/>
      <c r="R264" s="78"/>
      <c r="S264" s="78"/>
      <c r="T264" s="78"/>
      <c r="U264" s="78"/>
      <c r="V264" s="78"/>
    </row>
    <row r="265" ht="15.75" customHeight="1">
      <c r="P265" s="78"/>
      <c r="Q265" s="78"/>
      <c r="R265" s="78"/>
      <c r="S265" s="78"/>
      <c r="T265" s="78"/>
      <c r="U265" s="78"/>
      <c r="V265" s="78"/>
    </row>
    <row r="266" ht="15.75" customHeight="1">
      <c r="P266" s="78"/>
      <c r="Q266" s="78"/>
      <c r="R266" s="78"/>
      <c r="S266" s="78"/>
      <c r="T266" s="78"/>
      <c r="U266" s="78"/>
      <c r="V266" s="78"/>
    </row>
    <row r="267" ht="15.75" customHeight="1">
      <c r="P267" s="78"/>
      <c r="Q267" s="78"/>
      <c r="R267" s="78"/>
      <c r="S267" s="78"/>
      <c r="T267" s="78"/>
      <c r="U267" s="78"/>
      <c r="V267" s="78"/>
    </row>
    <row r="268" ht="15.75" customHeight="1">
      <c r="P268" s="78"/>
      <c r="Q268" s="78"/>
      <c r="R268" s="78"/>
      <c r="S268" s="78"/>
      <c r="T268" s="78"/>
      <c r="U268" s="78"/>
      <c r="V268" s="78"/>
    </row>
    <row r="269" ht="15.75" customHeight="1">
      <c r="P269" s="78"/>
      <c r="Q269" s="78"/>
      <c r="R269" s="78"/>
      <c r="S269" s="78"/>
      <c r="T269" s="78"/>
      <c r="U269" s="78"/>
      <c r="V269" s="78"/>
    </row>
    <row r="270" ht="15.75" customHeight="1">
      <c r="P270" s="78"/>
      <c r="Q270" s="78"/>
      <c r="R270" s="78"/>
      <c r="S270" s="78"/>
      <c r="T270" s="78"/>
      <c r="U270" s="78"/>
      <c r="V270" s="78"/>
    </row>
    <row r="271" ht="15.75" customHeight="1">
      <c r="P271" s="78"/>
      <c r="Q271" s="78"/>
      <c r="R271" s="78"/>
      <c r="S271" s="78"/>
      <c r="T271" s="78"/>
      <c r="U271" s="78"/>
      <c r="V271" s="78"/>
    </row>
    <row r="272" ht="15.75" customHeight="1">
      <c r="P272" s="78"/>
      <c r="Q272" s="78"/>
      <c r="R272" s="78"/>
      <c r="S272" s="78"/>
      <c r="T272" s="78"/>
      <c r="U272" s="78"/>
      <c r="V272" s="78"/>
    </row>
    <row r="273" ht="15.75" customHeight="1">
      <c r="P273" s="78"/>
      <c r="Q273" s="78"/>
      <c r="R273" s="78"/>
      <c r="S273" s="78"/>
      <c r="T273" s="78"/>
      <c r="U273" s="78"/>
      <c r="V273" s="78"/>
    </row>
    <row r="274" ht="15.75" customHeight="1">
      <c r="P274" s="78"/>
      <c r="Q274" s="78"/>
      <c r="R274" s="78"/>
      <c r="S274" s="78"/>
      <c r="T274" s="78"/>
      <c r="U274" s="78"/>
      <c r="V274" s="78"/>
    </row>
    <row r="275" ht="15.75" customHeight="1">
      <c r="P275" s="78"/>
      <c r="Q275" s="78"/>
      <c r="R275" s="78"/>
      <c r="S275" s="78"/>
      <c r="T275" s="78"/>
      <c r="U275" s="78"/>
      <c r="V275" s="78"/>
    </row>
    <row r="276" ht="15.75" customHeight="1">
      <c r="P276" s="78"/>
      <c r="Q276" s="78"/>
      <c r="R276" s="78"/>
      <c r="S276" s="78"/>
      <c r="T276" s="78"/>
      <c r="U276" s="78"/>
      <c r="V276" s="78"/>
    </row>
    <row r="277" ht="15.75" customHeight="1">
      <c r="P277" s="78"/>
      <c r="Q277" s="78"/>
      <c r="R277" s="78"/>
      <c r="S277" s="78"/>
      <c r="T277" s="78"/>
      <c r="U277" s="78"/>
      <c r="V277" s="78"/>
    </row>
    <row r="278" ht="15.75" customHeight="1">
      <c r="P278" s="78"/>
      <c r="Q278" s="78"/>
      <c r="R278" s="78"/>
      <c r="S278" s="78"/>
      <c r="T278" s="78"/>
      <c r="U278" s="78"/>
      <c r="V278" s="78"/>
    </row>
    <row r="279" ht="15.75" customHeight="1">
      <c r="P279" s="78"/>
      <c r="Q279" s="78"/>
      <c r="R279" s="78"/>
      <c r="S279" s="78"/>
      <c r="T279" s="78"/>
      <c r="U279" s="78"/>
      <c r="V279" s="78"/>
    </row>
    <row r="280" ht="15.75" customHeight="1">
      <c r="P280" s="78"/>
      <c r="Q280" s="78"/>
      <c r="R280" s="78"/>
      <c r="S280" s="78"/>
      <c r="T280" s="78"/>
      <c r="U280" s="78"/>
      <c r="V280" s="78"/>
    </row>
    <row r="281" ht="15.75" customHeight="1">
      <c r="P281" s="78"/>
      <c r="Q281" s="78"/>
      <c r="R281" s="78"/>
      <c r="S281" s="78"/>
      <c r="T281" s="78"/>
      <c r="U281" s="78"/>
      <c r="V281" s="78"/>
    </row>
    <row r="282" ht="15.75" customHeight="1">
      <c r="P282" s="78"/>
      <c r="Q282" s="78"/>
      <c r="R282" s="78"/>
      <c r="S282" s="78"/>
      <c r="T282" s="78"/>
      <c r="U282" s="78"/>
      <c r="V282" s="78"/>
    </row>
    <row r="283" ht="15.75" customHeight="1">
      <c r="P283" s="78"/>
      <c r="Q283" s="78"/>
      <c r="R283" s="78"/>
      <c r="S283" s="78"/>
      <c r="T283" s="78"/>
      <c r="U283" s="78"/>
      <c r="V283" s="78"/>
    </row>
    <row r="284" ht="15.75" customHeight="1">
      <c r="P284" s="78"/>
      <c r="Q284" s="78"/>
      <c r="R284" s="78"/>
      <c r="S284" s="78"/>
      <c r="T284" s="78"/>
      <c r="U284" s="78"/>
      <c r="V284" s="78"/>
    </row>
    <row r="285" ht="15.75" customHeight="1">
      <c r="P285" s="78"/>
      <c r="Q285" s="78"/>
      <c r="R285" s="78"/>
      <c r="S285" s="78"/>
      <c r="T285" s="78"/>
      <c r="U285" s="78"/>
      <c r="V285" s="78"/>
    </row>
    <row r="286" ht="15.75" customHeight="1">
      <c r="P286" s="78"/>
      <c r="Q286" s="78"/>
      <c r="R286" s="78"/>
      <c r="S286" s="78"/>
      <c r="T286" s="78"/>
      <c r="U286" s="78"/>
      <c r="V286" s="78"/>
    </row>
    <row r="287" ht="15.75" customHeight="1">
      <c r="P287" s="78"/>
      <c r="Q287" s="78"/>
      <c r="R287" s="78"/>
      <c r="S287" s="78"/>
      <c r="T287" s="78"/>
      <c r="U287" s="78"/>
      <c r="V287" s="78"/>
    </row>
    <row r="288" ht="15.75" customHeight="1">
      <c r="P288" s="78"/>
      <c r="Q288" s="78"/>
      <c r="R288" s="78"/>
      <c r="S288" s="78"/>
      <c r="T288" s="78"/>
      <c r="U288" s="78"/>
      <c r="V288" s="78"/>
    </row>
    <row r="289" ht="15.75" customHeight="1">
      <c r="P289" s="78"/>
      <c r="Q289" s="78"/>
      <c r="R289" s="78"/>
      <c r="S289" s="78"/>
      <c r="T289" s="78"/>
      <c r="U289" s="78"/>
      <c r="V289" s="78"/>
    </row>
    <row r="290" ht="15.75" customHeight="1">
      <c r="P290" s="78"/>
      <c r="Q290" s="78"/>
      <c r="R290" s="78"/>
      <c r="S290" s="78"/>
      <c r="T290" s="78"/>
      <c r="U290" s="78"/>
      <c r="V290" s="78"/>
    </row>
    <row r="291" ht="15.75" customHeight="1">
      <c r="P291" s="78"/>
      <c r="Q291" s="78"/>
      <c r="R291" s="78"/>
      <c r="S291" s="78"/>
      <c r="T291" s="78"/>
      <c r="U291" s="78"/>
      <c r="V291" s="78"/>
    </row>
    <row r="292" ht="15.75" customHeight="1">
      <c r="P292" s="78"/>
      <c r="Q292" s="78"/>
      <c r="R292" s="78"/>
      <c r="S292" s="78"/>
      <c r="T292" s="78"/>
      <c r="U292" s="78"/>
      <c r="V292" s="78"/>
    </row>
    <row r="293" ht="15.75" customHeight="1">
      <c r="P293" s="78"/>
      <c r="Q293" s="78"/>
      <c r="R293" s="78"/>
      <c r="S293" s="78"/>
      <c r="T293" s="78"/>
      <c r="U293" s="78"/>
      <c r="V293" s="78"/>
    </row>
    <row r="294" ht="15.75" customHeight="1">
      <c r="P294" s="78"/>
      <c r="Q294" s="78"/>
      <c r="R294" s="78"/>
      <c r="S294" s="78"/>
      <c r="T294" s="78"/>
      <c r="U294" s="78"/>
      <c r="V294" s="78"/>
    </row>
    <row r="295" ht="15.75" customHeight="1">
      <c r="P295" s="78"/>
      <c r="Q295" s="78"/>
      <c r="R295" s="78"/>
      <c r="S295" s="78"/>
      <c r="T295" s="78"/>
      <c r="U295" s="78"/>
      <c r="V295" s="78"/>
    </row>
    <row r="296" ht="15.75" customHeight="1">
      <c r="P296" s="78"/>
      <c r="Q296" s="78"/>
      <c r="R296" s="78"/>
      <c r="S296" s="78"/>
      <c r="T296" s="78"/>
      <c r="U296" s="78"/>
      <c r="V296" s="78"/>
    </row>
    <row r="297" ht="15.75" customHeight="1">
      <c r="P297" s="78"/>
      <c r="Q297" s="78"/>
      <c r="R297" s="78"/>
      <c r="S297" s="78"/>
      <c r="T297" s="78"/>
      <c r="U297" s="78"/>
      <c r="V297" s="78"/>
    </row>
    <row r="298" ht="15.75" customHeight="1">
      <c r="P298" s="78"/>
      <c r="Q298" s="78"/>
      <c r="R298" s="78"/>
      <c r="S298" s="78"/>
      <c r="T298" s="78"/>
      <c r="U298" s="78"/>
      <c r="V298" s="78"/>
    </row>
    <row r="299" ht="15.75" customHeight="1">
      <c r="P299" s="78"/>
      <c r="Q299" s="78"/>
      <c r="R299" s="78"/>
      <c r="S299" s="78"/>
      <c r="T299" s="78"/>
      <c r="U299" s="78"/>
      <c r="V299" s="78"/>
    </row>
    <row r="300" ht="15.75" customHeight="1">
      <c r="P300" s="78"/>
      <c r="Q300" s="78"/>
      <c r="R300" s="78"/>
      <c r="S300" s="78"/>
      <c r="T300" s="78"/>
      <c r="U300" s="78"/>
      <c r="V300" s="78"/>
    </row>
    <row r="301" ht="15.75" customHeight="1">
      <c r="P301" s="78"/>
      <c r="Q301" s="78"/>
      <c r="R301" s="78"/>
      <c r="S301" s="78"/>
      <c r="T301" s="78"/>
      <c r="U301" s="78"/>
      <c r="V301" s="78"/>
    </row>
    <row r="302" ht="15.75" customHeight="1">
      <c r="P302" s="78"/>
      <c r="Q302" s="78"/>
      <c r="R302" s="78"/>
      <c r="S302" s="78"/>
      <c r="T302" s="78"/>
      <c r="U302" s="78"/>
      <c r="V302" s="78"/>
    </row>
    <row r="303" ht="15.75" customHeight="1">
      <c r="P303" s="78"/>
      <c r="Q303" s="78"/>
      <c r="R303" s="78"/>
      <c r="S303" s="78"/>
      <c r="T303" s="78"/>
      <c r="U303" s="78"/>
      <c r="V303" s="78"/>
    </row>
    <row r="304" ht="15.75" customHeight="1">
      <c r="P304" s="78"/>
      <c r="Q304" s="78"/>
      <c r="R304" s="78"/>
      <c r="S304" s="78"/>
      <c r="T304" s="78"/>
      <c r="U304" s="78"/>
      <c r="V304" s="78"/>
    </row>
    <row r="305" ht="15.75" customHeight="1">
      <c r="P305" s="78"/>
      <c r="Q305" s="78"/>
      <c r="R305" s="78"/>
      <c r="S305" s="78"/>
      <c r="T305" s="78"/>
      <c r="U305" s="78"/>
      <c r="V305" s="78"/>
    </row>
    <row r="306" ht="15.75" customHeight="1">
      <c r="P306" s="78"/>
      <c r="Q306" s="78"/>
      <c r="R306" s="78"/>
      <c r="S306" s="78"/>
      <c r="T306" s="78"/>
      <c r="U306" s="78"/>
      <c r="V306" s="78"/>
    </row>
    <row r="307" ht="15.75" customHeight="1">
      <c r="P307" s="78"/>
      <c r="Q307" s="78"/>
      <c r="R307" s="78"/>
      <c r="S307" s="78"/>
      <c r="T307" s="78"/>
      <c r="U307" s="78"/>
      <c r="V307" s="78"/>
    </row>
    <row r="308" ht="15.75" customHeight="1">
      <c r="P308" s="78"/>
      <c r="Q308" s="78"/>
      <c r="R308" s="78"/>
      <c r="S308" s="78"/>
      <c r="T308" s="78"/>
      <c r="U308" s="78"/>
      <c r="V308" s="78"/>
    </row>
    <row r="309" ht="15.75" customHeight="1">
      <c r="P309" s="78"/>
      <c r="Q309" s="78"/>
      <c r="R309" s="78"/>
      <c r="S309" s="78"/>
      <c r="T309" s="78"/>
      <c r="U309" s="78"/>
      <c r="V309" s="78"/>
    </row>
    <row r="310" ht="15.75" customHeight="1">
      <c r="P310" s="78"/>
      <c r="Q310" s="78"/>
      <c r="R310" s="78"/>
      <c r="S310" s="78"/>
      <c r="T310" s="78"/>
      <c r="U310" s="78"/>
      <c r="V310" s="78"/>
    </row>
    <row r="311" ht="15.75" customHeight="1">
      <c r="P311" s="78"/>
      <c r="Q311" s="78"/>
      <c r="R311" s="78"/>
      <c r="S311" s="78"/>
      <c r="T311" s="78"/>
      <c r="U311" s="78"/>
      <c r="V311" s="78"/>
    </row>
    <row r="312" ht="15.75" customHeight="1">
      <c r="P312" s="78"/>
      <c r="Q312" s="78"/>
      <c r="R312" s="78"/>
      <c r="S312" s="78"/>
      <c r="T312" s="78"/>
      <c r="U312" s="78"/>
      <c r="V312" s="78"/>
    </row>
    <row r="313" ht="15.75" customHeight="1">
      <c r="P313" s="78"/>
      <c r="Q313" s="78"/>
      <c r="R313" s="78"/>
      <c r="S313" s="78"/>
      <c r="T313" s="78"/>
      <c r="U313" s="78"/>
      <c r="V313" s="78"/>
    </row>
    <row r="314" ht="15.75" customHeight="1">
      <c r="P314" s="78"/>
      <c r="Q314" s="78"/>
      <c r="R314" s="78"/>
      <c r="S314" s="78"/>
      <c r="T314" s="78"/>
      <c r="U314" s="78"/>
      <c r="V314" s="78"/>
    </row>
    <row r="315" ht="15.75" customHeight="1">
      <c r="P315" s="78"/>
      <c r="Q315" s="78"/>
      <c r="R315" s="78"/>
      <c r="S315" s="78"/>
      <c r="T315" s="78"/>
      <c r="U315" s="78"/>
      <c r="V315" s="78"/>
    </row>
    <row r="316" ht="15.75" customHeight="1">
      <c r="P316" s="78"/>
      <c r="Q316" s="78"/>
      <c r="R316" s="78"/>
      <c r="S316" s="78"/>
      <c r="T316" s="78"/>
      <c r="U316" s="78"/>
      <c r="V316" s="78"/>
    </row>
    <row r="317" ht="15.75" customHeight="1">
      <c r="P317" s="78"/>
      <c r="Q317" s="78"/>
      <c r="R317" s="78"/>
      <c r="S317" s="78"/>
      <c r="T317" s="78"/>
      <c r="U317" s="78"/>
      <c r="V317" s="78"/>
    </row>
    <row r="318" ht="15.75" customHeight="1">
      <c r="P318" s="78"/>
      <c r="Q318" s="78"/>
      <c r="R318" s="78"/>
      <c r="S318" s="78"/>
      <c r="T318" s="78"/>
      <c r="U318" s="78"/>
      <c r="V318" s="78"/>
    </row>
    <row r="319" ht="15.75" customHeight="1">
      <c r="P319" s="78"/>
      <c r="Q319" s="78"/>
      <c r="R319" s="78"/>
      <c r="S319" s="78"/>
      <c r="T319" s="78"/>
      <c r="U319" s="78"/>
      <c r="V319" s="78"/>
    </row>
    <row r="320" ht="15.75" customHeight="1">
      <c r="P320" s="78"/>
      <c r="Q320" s="78"/>
      <c r="R320" s="78"/>
      <c r="S320" s="78"/>
      <c r="T320" s="78"/>
      <c r="U320" s="78"/>
      <c r="V320" s="78"/>
    </row>
    <row r="321" ht="15.75" customHeight="1">
      <c r="P321" s="78"/>
      <c r="Q321" s="78"/>
      <c r="R321" s="78"/>
      <c r="S321" s="78"/>
      <c r="T321" s="78"/>
      <c r="U321" s="78"/>
      <c r="V321" s="78"/>
    </row>
    <row r="322" ht="15.75" customHeight="1">
      <c r="P322" s="78"/>
      <c r="Q322" s="78"/>
      <c r="R322" s="78"/>
      <c r="S322" s="78"/>
      <c r="T322" s="78"/>
      <c r="U322" s="78"/>
      <c r="V322" s="78"/>
    </row>
    <row r="323" ht="15.75" customHeight="1">
      <c r="P323" s="78"/>
      <c r="Q323" s="78"/>
      <c r="R323" s="78"/>
      <c r="S323" s="78"/>
      <c r="T323" s="78"/>
      <c r="U323" s="78"/>
      <c r="V323" s="78"/>
    </row>
    <row r="324" ht="15.75" customHeight="1">
      <c r="P324" s="78"/>
      <c r="Q324" s="78"/>
      <c r="R324" s="78"/>
      <c r="S324" s="78"/>
      <c r="T324" s="78"/>
      <c r="U324" s="78"/>
      <c r="V324" s="78"/>
    </row>
    <row r="325" ht="15.75" customHeight="1">
      <c r="P325" s="78"/>
      <c r="Q325" s="78"/>
      <c r="R325" s="78"/>
      <c r="S325" s="78"/>
      <c r="T325" s="78"/>
      <c r="U325" s="78"/>
      <c r="V325" s="78"/>
    </row>
    <row r="326" ht="15.75" customHeight="1">
      <c r="P326" s="78"/>
      <c r="Q326" s="78"/>
      <c r="R326" s="78"/>
      <c r="S326" s="78"/>
      <c r="T326" s="78"/>
      <c r="U326" s="78"/>
      <c r="V326" s="78"/>
    </row>
    <row r="327" ht="15.75" customHeight="1">
      <c r="P327" s="78"/>
      <c r="Q327" s="78"/>
      <c r="R327" s="78"/>
      <c r="S327" s="78"/>
      <c r="T327" s="78"/>
      <c r="U327" s="78"/>
      <c r="V327" s="78"/>
    </row>
    <row r="328" ht="15.75" customHeight="1">
      <c r="P328" s="78"/>
      <c r="Q328" s="78"/>
      <c r="R328" s="78"/>
      <c r="S328" s="78"/>
      <c r="T328" s="78"/>
      <c r="U328" s="78"/>
      <c r="V328" s="78"/>
    </row>
    <row r="329" ht="15.75" customHeight="1">
      <c r="P329" s="78"/>
      <c r="Q329" s="78"/>
      <c r="R329" s="78"/>
      <c r="S329" s="78"/>
      <c r="T329" s="78"/>
      <c r="U329" s="78"/>
      <c r="V329" s="78"/>
    </row>
    <row r="330" ht="15.75" customHeight="1">
      <c r="P330" s="78"/>
      <c r="Q330" s="78"/>
      <c r="R330" s="78"/>
      <c r="S330" s="78"/>
      <c r="T330" s="78"/>
      <c r="U330" s="78"/>
      <c r="V330" s="78"/>
    </row>
    <row r="331" ht="15.75" customHeight="1">
      <c r="P331" s="78"/>
      <c r="Q331" s="78"/>
      <c r="R331" s="78"/>
      <c r="S331" s="78"/>
      <c r="T331" s="78"/>
      <c r="U331" s="78"/>
      <c r="V331" s="78"/>
    </row>
    <row r="332" ht="15.75" customHeight="1">
      <c r="P332" s="78"/>
      <c r="Q332" s="78"/>
      <c r="R332" s="78"/>
      <c r="S332" s="78"/>
      <c r="T332" s="78"/>
      <c r="U332" s="78"/>
      <c r="V332" s="78"/>
    </row>
    <row r="333" ht="15.75" customHeight="1">
      <c r="P333" s="78"/>
      <c r="Q333" s="78"/>
      <c r="R333" s="78"/>
      <c r="S333" s="78"/>
      <c r="T333" s="78"/>
      <c r="U333" s="78"/>
      <c r="V333" s="78"/>
    </row>
    <row r="334" ht="15.75" customHeight="1">
      <c r="P334" s="78"/>
      <c r="Q334" s="78"/>
      <c r="R334" s="78"/>
      <c r="S334" s="78"/>
      <c r="T334" s="78"/>
      <c r="U334" s="78"/>
      <c r="V334" s="78"/>
    </row>
    <row r="335" ht="15.75" customHeight="1">
      <c r="P335" s="78"/>
      <c r="Q335" s="78"/>
      <c r="R335" s="78"/>
      <c r="S335" s="78"/>
      <c r="T335" s="78"/>
      <c r="U335" s="78"/>
      <c r="V335" s="78"/>
    </row>
    <row r="336" ht="15.75" customHeight="1">
      <c r="P336" s="78"/>
      <c r="Q336" s="78"/>
      <c r="R336" s="78"/>
      <c r="S336" s="78"/>
      <c r="T336" s="78"/>
      <c r="U336" s="78"/>
      <c r="V336" s="78"/>
    </row>
    <row r="337" ht="15.75" customHeight="1">
      <c r="P337" s="78"/>
      <c r="Q337" s="78"/>
      <c r="R337" s="78"/>
      <c r="S337" s="78"/>
      <c r="T337" s="78"/>
      <c r="U337" s="78"/>
      <c r="V337" s="78"/>
    </row>
    <row r="338" ht="15.75" customHeight="1">
      <c r="P338" s="78"/>
      <c r="Q338" s="78"/>
      <c r="R338" s="78"/>
      <c r="S338" s="78"/>
      <c r="T338" s="78"/>
      <c r="U338" s="78"/>
      <c r="V338" s="78"/>
    </row>
    <row r="339" ht="15.75" customHeight="1">
      <c r="P339" s="78"/>
      <c r="Q339" s="78"/>
      <c r="R339" s="78"/>
      <c r="S339" s="78"/>
      <c r="T339" s="78"/>
      <c r="U339" s="78"/>
      <c r="V339" s="78"/>
    </row>
    <row r="340" ht="15.75" customHeight="1">
      <c r="P340" s="78"/>
      <c r="Q340" s="78"/>
      <c r="R340" s="78"/>
      <c r="S340" s="78"/>
      <c r="T340" s="78"/>
      <c r="U340" s="78"/>
      <c r="V340" s="78"/>
    </row>
    <row r="341" ht="15.75" customHeight="1">
      <c r="P341" s="78"/>
      <c r="Q341" s="78"/>
      <c r="R341" s="78"/>
      <c r="S341" s="78"/>
      <c r="T341" s="78"/>
      <c r="U341" s="78"/>
      <c r="V341" s="78"/>
    </row>
    <row r="342" ht="15.75" customHeight="1">
      <c r="P342" s="78"/>
      <c r="Q342" s="78"/>
      <c r="R342" s="78"/>
      <c r="S342" s="78"/>
      <c r="T342" s="78"/>
      <c r="U342" s="78"/>
      <c r="V342" s="78"/>
    </row>
    <row r="343" ht="15.75" customHeight="1">
      <c r="P343" s="78"/>
      <c r="Q343" s="78"/>
      <c r="R343" s="78"/>
      <c r="S343" s="78"/>
      <c r="T343" s="78"/>
      <c r="U343" s="78"/>
      <c r="V343" s="78"/>
    </row>
    <row r="344" ht="15.75" customHeight="1">
      <c r="P344" s="78"/>
      <c r="Q344" s="78"/>
      <c r="R344" s="78"/>
      <c r="S344" s="78"/>
      <c r="T344" s="78"/>
      <c r="U344" s="78"/>
      <c r="V344" s="78"/>
    </row>
    <row r="345" ht="15.75" customHeight="1">
      <c r="P345" s="78"/>
      <c r="Q345" s="78"/>
      <c r="R345" s="78"/>
      <c r="S345" s="78"/>
      <c r="T345" s="78"/>
      <c r="U345" s="78"/>
      <c r="V345" s="78"/>
    </row>
    <row r="346" ht="15.75" customHeight="1">
      <c r="P346" s="78"/>
      <c r="Q346" s="78"/>
      <c r="R346" s="78"/>
      <c r="S346" s="78"/>
      <c r="T346" s="78"/>
      <c r="U346" s="78"/>
      <c r="V346" s="78"/>
    </row>
    <row r="347" ht="15.75" customHeight="1">
      <c r="P347" s="78"/>
      <c r="Q347" s="78"/>
      <c r="R347" s="78"/>
      <c r="S347" s="78"/>
      <c r="T347" s="78"/>
      <c r="U347" s="78"/>
      <c r="V347" s="78"/>
    </row>
    <row r="348" ht="15.75" customHeight="1">
      <c r="P348" s="78"/>
      <c r="Q348" s="78"/>
      <c r="R348" s="78"/>
      <c r="S348" s="78"/>
      <c r="T348" s="78"/>
      <c r="U348" s="78"/>
      <c r="V348" s="78"/>
    </row>
    <row r="349" ht="15.75" customHeight="1">
      <c r="P349" s="78"/>
      <c r="Q349" s="78"/>
      <c r="R349" s="78"/>
      <c r="S349" s="78"/>
      <c r="T349" s="78"/>
      <c r="U349" s="78"/>
      <c r="V349" s="78"/>
    </row>
    <row r="350" ht="15.75" customHeight="1">
      <c r="P350" s="78"/>
      <c r="Q350" s="78"/>
      <c r="R350" s="78"/>
      <c r="S350" s="78"/>
      <c r="T350" s="78"/>
      <c r="U350" s="78"/>
      <c r="V350" s="78"/>
    </row>
    <row r="351" ht="15.75" customHeight="1">
      <c r="P351" s="78"/>
      <c r="Q351" s="78"/>
      <c r="R351" s="78"/>
      <c r="S351" s="78"/>
      <c r="T351" s="78"/>
      <c r="U351" s="78"/>
      <c r="V351" s="78"/>
    </row>
    <row r="352" ht="15.75" customHeight="1">
      <c r="P352" s="78"/>
      <c r="Q352" s="78"/>
      <c r="R352" s="78"/>
      <c r="S352" s="78"/>
      <c r="T352" s="78"/>
      <c r="U352" s="78"/>
      <c r="V352" s="78"/>
    </row>
    <row r="353" ht="15.75" customHeight="1">
      <c r="P353" s="78"/>
      <c r="Q353" s="78"/>
      <c r="R353" s="78"/>
      <c r="S353" s="78"/>
      <c r="T353" s="78"/>
      <c r="U353" s="78"/>
      <c r="V353" s="78"/>
    </row>
    <row r="354" ht="15.75" customHeight="1">
      <c r="P354" s="78"/>
      <c r="Q354" s="78"/>
      <c r="R354" s="78"/>
      <c r="S354" s="78"/>
      <c r="T354" s="78"/>
      <c r="U354" s="78"/>
      <c r="V354" s="78"/>
    </row>
    <row r="355" ht="15.75" customHeight="1">
      <c r="P355" s="78"/>
      <c r="Q355" s="78"/>
      <c r="R355" s="78"/>
      <c r="S355" s="78"/>
      <c r="T355" s="78"/>
      <c r="U355" s="78"/>
      <c r="V355" s="78"/>
    </row>
    <row r="356" ht="15.75" customHeight="1">
      <c r="P356" s="78"/>
      <c r="Q356" s="78"/>
      <c r="R356" s="78"/>
      <c r="S356" s="78"/>
      <c r="T356" s="78"/>
      <c r="U356" s="78"/>
      <c r="V356" s="78"/>
    </row>
    <row r="357" ht="15.75" customHeight="1">
      <c r="P357" s="78"/>
      <c r="Q357" s="78"/>
      <c r="R357" s="78"/>
      <c r="S357" s="78"/>
      <c r="T357" s="78"/>
      <c r="U357" s="78"/>
      <c r="V357" s="78"/>
    </row>
    <row r="358" ht="15.75" customHeight="1">
      <c r="P358" s="78"/>
      <c r="Q358" s="78"/>
      <c r="R358" s="78"/>
      <c r="S358" s="78"/>
      <c r="T358" s="78"/>
      <c r="U358" s="78"/>
      <c r="V358" s="78"/>
    </row>
    <row r="359" ht="15.75" customHeight="1">
      <c r="P359" s="78"/>
      <c r="Q359" s="78"/>
      <c r="R359" s="78"/>
      <c r="S359" s="78"/>
      <c r="T359" s="78"/>
      <c r="U359" s="78"/>
      <c r="V359" s="78"/>
    </row>
    <row r="360" ht="15.75" customHeight="1">
      <c r="P360" s="78"/>
      <c r="Q360" s="78"/>
      <c r="R360" s="78"/>
      <c r="S360" s="78"/>
      <c r="T360" s="78"/>
      <c r="U360" s="78"/>
      <c r="V360" s="78"/>
    </row>
    <row r="361" ht="15.75" customHeight="1">
      <c r="P361" s="78"/>
      <c r="Q361" s="78"/>
      <c r="R361" s="78"/>
      <c r="S361" s="78"/>
      <c r="T361" s="78"/>
      <c r="U361" s="78"/>
      <c r="V361" s="78"/>
    </row>
    <row r="362" ht="15.75" customHeight="1">
      <c r="P362" s="78"/>
      <c r="Q362" s="78"/>
      <c r="R362" s="78"/>
      <c r="S362" s="78"/>
      <c r="T362" s="78"/>
      <c r="U362" s="78"/>
      <c r="V362" s="78"/>
    </row>
    <row r="363" ht="15.75" customHeight="1">
      <c r="P363" s="78"/>
      <c r="Q363" s="78"/>
      <c r="R363" s="78"/>
      <c r="S363" s="78"/>
      <c r="T363" s="78"/>
      <c r="U363" s="78"/>
      <c r="V363" s="78"/>
    </row>
    <row r="364" ht="15.75" customHeight="1">
      <c r="P364" s="78"/>
      <c r="Q364" s="78"/>
      <c r="R364" s="78"/>
      <c r="S364" s="78"/>
      <c r="T364" s="78"/>
      <c r="U364" s="78"/>
      <c r="V364" s="78"/>
    </row>
    <row r="365" ht="15.75" customHeight="1">
      <c r="P365" s="78"/>
      <c r="Q365" s="78"/>
      <c r="R365" s="78"/>
      <c r="S365" s="78"/>
      <c r="T365" s="78"/>
      <c r="U365" s="78"/>
      <c r="V365" s="78"/>
    </row>
    <row r="366" ht="15.75" customHeight="1">
      <c r="P366" s="78"/>
      <c r="Q366" s="78"/>
      <c r="R366" s="78"/>
      <c r="S366" s="78"/>
      <c r="T366" s="78"/>
      <c r="U366" s="78"/>
      <c r="V366" s="78"/>
    </row>
    <row r="367" ht="15.75" customHeight="1">
      <c r="P367" s="78"/>
      <c r="Q367" s="78"/>
      <c r="R367" s="78"/>
      <c r="S367" s="78"/>
      <c r="T367" s="78"/>
      <c r="U367" s="78"/>
      <c r="V367" s="78"/>
    </row>
    <row r="368" ht="15.75" customHeight="1">
      <c r="P368" s="78"/>
      <c r="Q368" s="78"/>
      <c r="R368" s="78"/>
      <c r="S368" s="78"/>
      <c r="T368" s="78"/>
      <c r="U368" s="78"/>
      <c r="V368" s="78"/>
    </row>
    <row r="369" ht="15.75" customHeight="1">
      <c r="P369" s="78"/>
      <c r="Q369" s="78"/>
      <c r="R369" s="78"/>
      <c r="S369" s="78"/>
      <c r="T369" s="78"/>
      <c r="U369" s="78"/>
      <c r="V369" s="78"/>
    </row>
    <row r="370" ht="15.75" customHeight="1">
      <c r="P370" s="78"/>
      <c r="Q370" s="78"/>
      <c r="R370" s="78"/>
      <c r="S370" s="78"/>
      <c r="T370" s="78"/>
      <c r="U370" s="78"/>
      <c r="V370" s="78"/>
    </row>
    <row r="371" ht="15.75" customHeight="1">
      <c r="P371" s="78"/>
      <c r="Q371" s="78"/>
      <c r="R371" s="78"/>
      <c r="S371" s="78"/>
      <c r="T371" s="78"/>
      <c r="U371" s="78"/>
      <c r="V371" s="78"/>
    </row>
    <row r="372" ht="15.75" customHeight="1">
      <c r="P372" s="78"/>
      <c r="Q372" s="78"/>
      <c r="R372" s="78"/>
      <c r="S372" s="78"/>
      <c r="T372" s="78"/>
      <c r="U372" s="78"/>
      <c r="V372" s="78"/>
    </row>
    <row r="373" ht="15.75" customHeight="1">
      <c r="P373" s="78"/>
      <c r="Q373" s="78"/>
      <c r="R373" s="78"/>
      <c r="S373" s="78"/>
      <c r="T373" s="78"/>
      <c r="U373" s="78"/>
      <c r="V373" s="78"/>
    </row>
    <row r="374" ht="15.75" customHeight="1">
      <c r="P374" s="78"/>
      <c r="Q374" s="78"/>
      <c r="R374" s="78"/>
      <c r="S374" s="78"/>
      <c r="T374" s="78"/>
      <c r="U374" s="78"/>
      <c r="V374" s="78"/>
    </row>
    <row r="375" ht="15.75" customHeight="1">
      <c r="P375" s="78"/>
      <c r="Q375" s="78"/>
      <c r="R375" s="78"/>
      <c r="S375" s="78"/>
      <c r="T375" s="78"/>
      <c r="U375" s="78"/>
      <c r="V375" s="78"/>
    </row>
    <row r="376" ht="15.75" customHeight="1">
      <c r="P376" s="78"/>
      <c r="Q376" s="78"/>
      <c r="R376" s="78"/>
      <c r="S376" s="78"/>
      <c r="T376" s="78"/>
      <c r="U376" s="78"/>
      <c r="V376" s="78"/>
    </row>
    <row r="377" ht="15.75" customHeight="1">
      <c r="P377" s="78"/>
      <c r="Q377" s="78"/>
      <c r="R377" s="78"/>
      <c r="S377" s="78"/>
      <c r="T377" s="78"/>
      <c r="U377" s="78"/>
      <c r="V377" s="78"/>
    </row>
    <row r="378" ht="15.75" customHeight="1">
      <c r="P378" s="78"/>
      <c r="Q378" s="78"/>
      <c r="R378" s="78"/>
      <c r="S378" s="78"/>
      <c r="T378" s="78"/>
      <c r="U378" s="78"/>
      <c r="V378" s="78"/>
    </row>
    <row r="379" ht="15.75" customHeight="1">
      <c r="P379" s="78"/>
      <c r="Q379" s="78"/>
      <c r="R379" s="78"/>
      <c r="S379" s="78"/>
      <c r="T379" s="78"/>
      <c r="U379" s="78"/>
      <c r="V379" s="78"/>
    </row>
    <row r="380" ht="15.75" customHeight="1">
      <c r="P380" s="78"/>
      <c r="Q380" s="78"/>
      <c r="R380" s="78"/>
      <c r="S380" s="78"/>
      <c r="T380" s="78"/>
      <c r="U380" s="78"/>
      <c r="V380" s="78"/>
    </row>
    <row r="381" ht="15.75" customHeight="1">
      <c r="P381" s="78"/>
      <c r="Q381" s="78"/>
      <c r="R381" s="78"/>
      <c r="S381" s="78"/>
      <c r="T381" s="78"/>
      <c r="U381" s="78"/>
      <c r="V381" s="78"/>
    </row>
    <row r="382" ht="15.75" customHeight="1">
      <c r="P382" s="78"/>
      <c r="Q382" s="78"/>
      <c r="R382" s="78"/>
      <c r="S382" s="78"/>
      <c r="T382" s="78"/>
      <c r="U382" s="78"/>
      <c r="V382" s="78"/>
    </row>
    <row r="383" ht="15.75" customHeight="1">
      <c r="P383" s="78"/>
      <c r="Q383" s="78"/>
      <c r="R383" s="78"/>
      <c r="S383" s="78"/>
      <c r="T383" s="78"/>
      <c r="U383" s="78"/>
      <c r="V383" s="78"/>
    </row>
    <row r="384" ht="15.75" customHeight="1">
      <c r="P384" s="78"/>
      <c r="Q384" s="78"/>
      <c r="R384" s="78"/>
      <c r="S384" s="78"/>
      <c r="T384" s="78"/>
      <c r="U384" s="78"/>
      <c r="V384" s="78"/>
    </row>
    <row r="385" ht="15.75" customHeight="1">
      <c r="P385" s="78"/>
      <c r="Q385" s="78"/>
      <c r="R385" s="78"/>
      <c r="S385" s="78"/>
      <c r="T385" s="78"/>
      <c r="U385" s="78"/>
      <c r="V385" s="78"/>
    </row>
    <row r="386" ht="15.75" customHeight="1">
      <c r="P386" s="78"/>
      <c r="Q386" s="78"/>
      <c r="R386" s="78"/>
      <c r="S386" s="78"/>
      <c r="T386" s="78"/>
      <c r="U386" s="78"/>
      <c r="V386" s="78"/>
    </row>
    <row r="387" ht="15.75" customHeight="1">
      <c r="P387" s="78"/>
      <c r="Q387" s="78"/>
      <c r="R387" s="78"/>
      <c r="S387" s="78"/>
      <c r="T387" s="78"/>
      <c r="U387" s="78"/>
      <c r="V387" s="78"/>
    </row>
    <row r="388" ht="15.75" customHeight="1">
      <c r="P388" s="78"/>
      <c r="Q388" s="78"/>
      <c r="R388" s="78"/>
      <c r="S388" s="78"/>
      <c r="T388" s="78"/>
      <c r="U388" s="78"/>
      <c r="V388" s="78"/>
    </row>
    <row r="389" ht="15.75" customHeight="1">
      <c r="P389" s="78"/>
      <c r="Q389" s="78"/>
      <c r="R389" s="78"/>
      <c r="S389" s="78"/>
      <c r="T389" s="78"/>
      <c r="U389" s="78"/>
      <c r="V389" s="78"/>
    </row>
    <row r="390" ht="15.75" customHeight="1">
      <c r="P390" s="78"/>
      <c r="Q390" s="78"/>
      <c r="R390" s="78"/>
      <c r="S390" s="78"/>
      <c r="T390" s="78"/>
      <c r="U390" s="78"/>
      <c r="V390" s="78"/>
    </row>
    <row r="391" ht="15.75" customHeight="1">
      <c r="P391" s="78"/>
      <c r="Q391" s="78"/>
      <c r="R391" s="78"/>
      <c r="S391" s="78"/>
      <c r="T391" s="78"/>
      <c r="U391" s="78"/>
      <c r="V391" s="78"/>
    </row>
    <row r="392" ht="15.75" customHeight="1">
      <c r="P392" s="78"/>
      <c r="Q392" s="78"/>
      <c r="R392" s="78"/>
      <c r="S392" s="78"/>
      <c r="T392" s="78"/>
      <c r="U392" s="78"/>
      <c r="V392" s="78"/>
    </row>
    <row r="393" ht="15.75" customHeight="1">
      <c r="P393" s="78"/>
      <c r="Q393" s="78"/>
      <c r="R393" s="78"/>
      <c r="S393" s="78"/>
      <c r="T393" s="78"/>
      <c r="U393" s="78"/>
      <c r="V393" s="78"/>
    </row>
    <row r="394" ht="15.75" customHeight="1">
      <c r="P394" s="78"/>
      <c r="Q394" s="78"/>
      <c r="R394" s="78"/>
      <c r="S394" s="78"/>
      <c r="T394" s="78"/>
      <c r="U394" s="78"/>
      <c r="V394" s="78"/>
    </row>
    <row r="395" ht="15.75" customHeight="1">
      <c r="P395" s="78"/>
      <c r="Q395" s="78"/>
      <c r="R395" s="78"/>
      <c r="S395" s="78"/>
      <c r="T395" s="78"/>
      <c r="U395" s="78"/>
      <c r="V395" s="78"/>
    </row>
    <row r="396" ht="15.75" customHeight="1">
      <c r="P396" s="78"/>
      <c r="Q396" s="78"/>
      <c r="R396" s="78"/>
      <c r="S396" s="78"/>
      <c r="T396" s="78"/>
      <c r="U396" s="78"/>
      <c r="V396" s="78"/>
    </row>
    <row r="397" ht="15.75" customHeight="1">
      <c r="P397" s="78"/>
      <c r="Q397" s="78"/>
      <c r="R397" s="78"/>
      <c r="S397" s="78"/>
      <c r="T397" s="78"/>
      <c r="U397" s="78"/>
      <c r="V397" s="78"/>
    </row>
    <row r="398" ht="15.75" customHeight="1">
      <c r="P398" s="78"/>
      <c r="Q398" s="78"/>
      <c r="R398" s="78"/>
      <c r="S398" s="78"/>
      <c r="T398" s="78"/>
      <c r="U398" s="78"/>
      <c r="V398" s="78"/>
    </row>
    <row r="399" ht="15.75" customHeight="1">
      <c r="P399" s="78"/>
      <c r="Q399" s="78"/>
      <c r="R399" s="78"/>
      <c r="S399" s="78"/>
      <c r="T399" s="78"/>
      <c r="U399" s="78"/>
      <c r="V399" s="78"/>
    </row>
    <row r="400" ht="15.75" customHeight="1">
      <c r="P400" s="78"/>
      <c r="Q400" s="78"/>
      <c r="R400" s="78"/>
      <c r="S400" s="78"/>
      <c r="T400" s="78"/>
      <c r="U400" s="78"/>
      <c r="V400" s="78"/>
    </row>
    <row r="401" ht="15.75" customHeight="1">
      <c r="P401" s="78"/>
      <c r="Q401" s="78"/>
      <c r="R401" s="78"/>
      <c r="S401" s="78"/>
      <c r="T401" s="78"/>
      <c r="U401" s="78"/>
      <c r="V401" s="78"/>
    </row>
    <row r="402" ht="15.75" customHeight="1">
      <c r="P402" s="78"/>
      <c r="Q402" s="78"/>
      <c r="R402" s="78"/>
      <c r="S402" s="78"/>
      <c r="T402" s="78"/>
      <c r="U402" s="78"/>
      <c r="V402" s="78"/>
    </row>
    <row r="403" ht="15.75" customHeight="1">
      <c r="P403" s="78"/>
      <c r="Q403" s="78"/>
      <c r="R403" s="78"/>
      <c r="S403" s="78"/>
      <c r="T403" s="78"/>
      <c r="U403" s="78"/>
      <c r="V403" s="78"/>
    </row>
    <row r="404" ht="15.75" customHeight="1">
      <c r="P404" s="78"/>
      <c r="Q404" s="78"/>
      <c r="R404" s="78"/>
      <c r="S404" s="78"/>
      <c r="T404" s="78"/>
      <c r="U404" s="78"/>
      <c r="V404" s="78"/>
    </row>
    <row r="405" ht="15.75" customHeight="1">
      <c r="P405" s="78"/>
      <c r="Q405" s="78"/>
      <c r="R405" s="78"/>
      <c r="S405" s="78"/>
      <c r="T405" s="78"/>
      <c r="U405" s="78"/>
      <c r="V405" s="78"/>
    </row>
    <row r="406" ht="15.75" customHeight="1">
      <c r="P406" s="78"/>
      <c r="Q406" s="78"/>
      <c r="R406" s="78"/>
      <c r="S406" s="78"/>
      <c r="T406" s="78"/>
      <c r="U406" s="78"/>
      <c r="V406" s="78"/>
    </row>
    <row r="407" ht="15.75" customHeight="1">
      <c r="P407" s="78"/>
      <c r="Q407" s="78"/>
      <c r="R407" s="78"/>
      <c r="S407" s="78"/>
      <c r="T407" s="78"/>
      <c r="U407" s="78"/>
      <c r="V407" s="78"/>
    </row>
    <row r="408" ht="15.75" customHeight="1">
      <c r="P408" s="78"/>
      <c r="Q408" s="78"/>
      <c r="R408" s="78"/>
      <c r="S408" s="78"/>
      <c r="T408" s="78"/>
      <c r="U408" s="78"/>
      <c r="V408" s="78"/>
    </row>
    <row r="409" ht="15.75" customHeight="1">
      <c r="P409" s="78"/>
      <c r="Q409" s="78"/>
      <c r="R409" s="78"/>
      <c r="S409" s="78"/>
      <c r="T409" s="78"/>
      <c r="U409" s="78"/>
      <c r="V409" s="78"/>
    </row>
    <row r="410" ht="15.75" customHeight="1">
      <c r="P410" s="78"/>
      <c r="Q410" s="78"/>
      <c r="R410" s="78"/>
      <c r="S410" s="78"/>
      <c r="T410" s="78"/>
      <c r="U410" s="78"/>
      <c r="V410" s="78"/>
    </row>
    <row r="411" ht="15.75" customHeight="1">
      <c r="P411" s="78"/>
      <c r="Q411" s="78"/>
      <c r="R411" s="78"/>
      <c r="S411" s="78"/>
      <c r="T411" s="78"/>
      <c r="U411" s="78"/>
      <c r="V411" s="78"/>
    </row>
    <row r="412" ht="15.75" customHeight="1">
      <c r="P412" s="78"/>
      <c r="Q412" s="78"/>
      <c r="R412" s="78"/>
      <c r="S412" s="78"/>
      <c r="T412" s="78"/>
      <c r="U412" s="78"/>
      <c r="V412" s="78"/>
    </row>
    <row r="413" ht="15.75" customHeight="1">
      <c r="P413" s="78"/>
      <c r="Q413" s="78"/>
      <c r="R413" s="78"/>
      <c r="S413" s="78"/>
      <c r="T413" s="78"/>
      <c r="U413" s="78"/>
      <c r="V413" s="78"/>
    </row>
    <row r="414" ht="15.75" customHeight="1">
      <c r="P414" s="78"/>
      <c r="Q414" s="78"/>
      <c r="R414" s="78"/>
      <c r="S414" s="78"/>
      <c r="T414" s="78"/>
      <c r="U414" s="78"/>
      <c r="V414" s="78"/>
    </row>
    <row r="415" ht="15.75" customHeight="1">
      <c r="P415" s="78"/>
      <c r="Q415" s="78"/>
      <c r="R415" s="78"/>
      <c r="S415" s="78"/>
      <c r="T415" s="78"/>
      <c r="U415" s="78"/>
      <c r="V415" s="78"/>
    </row>
    <row r="416" ht="15.75" customHeight="1">
      <c r="P416" s="78"/>
      <c r="Q416" s="78"/>
      <c r="R416" s="78"/>
      <c r="S416" s="78"/>
      <c r="T416" s="78"/>
      <c r="U416" s="78"/>
      <c r="V416" s="78"/>
    </row>
    <row r="417" ht="15.75" customHeight="1">
      <c r="P417" s="78"/>
      <c r="Q417" s="78"/>
      <c r="R417" s="78"/>
      <c r="S417" s="78"/>
      <c r="T417" s="78"/>
      <c r="U417" s="78"/>
      <c r="V417" s="78"/>
    </row>
    <row r="418" ht="15.75" customHeight="1">
      <c r="P418" s="78"/>
      <c r="Q418" s="78"/>
      <c r="R418" s="78"/>
      <c r="S418" s="78"/>
      <c r="T418" s="78"/>
      <c r="U418" s="78"/>
      <c r="V418" s="78"/>
    </row>
    <row r="419" ht="15.75" customHeight="1">
      <c r="P419" s="78"/>
      <c r="Q419" s="78"/>
      <c r="R419" s="78"/>
      <c r="S419" s="78"/>
      <c r="T419" s="78"/>
      <c r="U419" s="78"/>
      <c r="V419" s="78"/>
    </row>
    <row r="420" ht="15.75" customHeight="1">
      <c r="P420" s="78"/>
      <c r="Q420" s="78"/>
      <c r="R420" s="78"/>
      <c r="S420" s="78"/>
      <c r="T420" s="78"/>
      <c r="U420" s="78"/>
      <c r="V420" s="78"/>
    </row>
    <row r="421" ht="15.75" customHeight="1">
      <c r="P421" s="78"/>
      <c r="Q421" s="78"/>
      <c r="R421" s="78"/>
      <c r="S421" s="78"/>
      <c r="T421" s="78"/>
      <c r="U421" s="78"/>
      <c r="V421" s="78"/>
    </row>
    <row r="422" ht="15.75" customHeight="1">
      <c r="P422" s="78"/>
      <c r="Q422" s="78"/>
      <c r="R422" s="78"/>
      <c r="S422" s="78"/>
      <c r="T422" s="78"/>
      <c r="U422" s="78"/>
      <c r="V422" s="78"/>
    </row>
    <row r="423" ht="15.75" customHeight="1">
      <c r="P423" s="78"/>
      <c r="Q423" s="78"/>
      <c r="R423" s="78"/>
      <c r="S423" s="78"/>
      <c r="T423" s="78"/>
      <c r="U423" s="78"/>
      <c r="V423" s="78"/>
    </row>
    <row r="424" ht="15.75" customHeight="1">
      <c r="P424" s="78"/>
      <c r="Q424" s="78"/>
      <c r="R424" s="78"/>
      <c r="S424" s="78"/>
      <c r="T424" s="78"/>
      <c r="U424" s="78"/>
      <c r="V424" s="78"/>
    </row>
    <row r="425" ht="15.75" customHeight="1">
      <c r="P425" s="78"/>
      <c r="Q425" s="78"/>
      <c r="R425" s="78"/>
      <c r="S425" s="78"/>
      <c r="T425" s="78"/>
      <c r="U425" s="78"/>
      <c r="V425" s="78"/>
    </row>
    <row r="426" ht="15.75" customHeight="1">
      <c r="P426" s="78"/>
      <c r="Q426" s="78"/>
      <c r="R426" s="78"/>
      <c r="S426" s="78"/>
      <c r="T426" s="78"/>
      <c r="U426" s="78"/>
      <c r="V426" s="78"/>
    </row>
    <row r="427" ht="15.75" customHeight="1">
      <c r="P427" s="78"/>
      <c r="Q427" s="78"/>
      <c r="R427" s="78"/>
      <c r="S427" s="78"/>
      <c r="T427" s="78"/>
      <c r="U427" s="78"/>
      <c r="V427" s="78"/>
    </row>
    <row r="428" ht="15.75" customHeight="1">
      <c r="P428" s="78"/>
      <c r="Q428" s="78"/>
      <c r="R428" s="78"/>
      <c r="S428" s="78"/>
      <c r="T428" s="78"/>
      <c r="U428" s="78"/>
      <c r="V428" s="78"/>
    </row>
    <row r="429" ht="15.75" customHeight="1">
      <c r="P429" s="78"/>
      <c r="Q429" s="78"/>
      <c r="R429" s="78"/>
      <c r="S429" s="78"/>
      <c r="T429" s="78"/>
      <c r="U429" s="78"/>
      <c r="V429" s="78"/>
    </row>
    <row r="430" ht="15.75" customHeight="1">
      <c r="P430" s="78"/>
      <c r="Q430" s="78"/>
      <c r="R430" s="78"/>
      <c r="S430" s="78"/>
      <c r="T430" s="78"/>
      <c r="U430" s="78"/>
      <c r="V430" s="78"/>
    </row>
    <row r="431" ht="15.75" customHeight="1">
      <c r="P431" s="78"/>
      <c r="Q431" s="78"/>
      <c r="R431" s="78"/>
      <c r="S431" s="78"/>
      <c r="T431" s="78"/>
      <c r="U431" s="78"/>
      <c r="V431" s="78"/>
    </row>
    <row r="432" ht="15.75" customHeight="1">
      <c r="P432" s="78"/>
      <c r="Q432" s="78"/>
      <c r="R432" s="78"/>
      <c r="S432" s="78"/>
      <c r="T432" s="78"/>
      <c r="U432" s="78"/>
      <c r="V432" s="78"/>
    </row>
    <row r="433" ht="15.75" customHeight="1">
      <c r="P433" s="78"/>
      <c r="Q433" s="78"/>
      <c r="R433" s="78"/>
      <c r="S433" s="78"/>
      <c r="T433" s="78"/>
      <c r="U433" s="78"/>
      <c r="V433" s="78"/>
    </row>
    <row r="434" ht="15.75" customHeight="1">
      <c r="P434" s="78"/>
      <c r="Q434" s="78"/>
      <c r="R434" s="78"/>
      <c r="S434" s="78"/>
      <c r="T434" s="78"/>
      <c r="U434" s="78"/>
      <c r="V434" s="78"/>
    </row>
    <row r="435" ht="15.75" customHeight="1">
      <c r="P435" s="78"/>
      <c r="Q435" s="78"/>
      <c r="R435" s="78"/>
      <c r="S435" s="78"/>
      <c r="T435" s="78"/>
      <c r="U435" s="78"/>
      <c r="V435" s="78"/>
    </row>
    <row r="436" ht="15.75" customHeight="1">
      <c r="P436" s="78"/>
      <c r="Q436" s="78"/>
      <c r="R436" s="78"/>
      <c r="S436" s="78"/>
      <c r="T436" s="78"/>
      <c r="U436" s="78"/>
      <c r="V436" s="78"/>
    </row>
    <row r="437" ht="15.75" customHeight="1">
      <c r="P437" s="78"/>
      <c r="Q437" s="78"/>
      <c r="R437" s="78"/>
      <c r="S437" s="78"/>
      <c r="T437" s="78"/>
      <c r="U437" s="78"/>
      <c r="V437" s="78"/>
    </row>
    <row r="438" ht="15.75" customHeight="1">
      <c r="P438" s="78"/>
      <c r="Q438" s="78"/>
      <c r="R438" s="78"/>
      <c r="S438" s="78"/>
      <c r="T438" s="78"/>
      <c r="U438" s="78"/>
      <c r="V438" s="78"/>
    </row>
    <row r="439" ht="15.75" customHeight="1">
      <c r="P439" s="78"/>
      <c r="Q439" s="78"/>
      <c r="R439" s="78"/>
      <c r="S439" s="78"/>
      <c r="T439" s="78"/>
      <c r="U439" s="78"/>
      <c r="V439" s="78"/>
    </row>
    <row r="440" ht="15.75" customHeight="1">
      <c r="P440" s="78"/>
      <c r="Q440" s="78"/>
      <c r="R440" s="78"/>
      <c r="S440" s="78"/>
      <c r="T440" s="78"/>
      <c r="U440" s="78"/>
      <c r="V440" s="78"/>
    </row>
    <row r="441" ht="15.75" customHeight="1">
      <c r="P441" s="78"/>
      <c r="Q441" s="78"/>
      <c r="R441" s="78"/>
      <c r="S441" s="78"/>
      <c r="T441" s="78"/>
      <c r="U441" s="78"/>
      <c r="V441" s="78"/>
    </row>
    <row r="442" ht="15.75" customHeight="1">
      <c r="P442" s="78"/>
      <c r="Q442" s="78"/>
      <c r="R442" s="78"/>
      <c r="S442" s="78"/>
      <c r="T442" s="78"/>
      <c r="U442" s="78"/>
      <c r="V442" s="78"/>
    </row>
    <row r="443" ht="15.75" customHeight="1">
      <c r="P443" s="78"/>
      <c r="Q443" s="78"/>
      <c r="R443" s="78"/>
      <c r="S443" s="78"/>
      <c r="T443" s="78"/>
      <c r="U443" s="78"/>
      <c r="V443" s="78"/>
    </row>
    <row r="444" ht="15.75" customHeight="1">
      <c r="P444" s="78"/>
      <c r="Q444" s="78"/>
      <c r="R444" s="78"/>
      <c r="S444" s="78"/>
      <c r="T444" s="78"/>
      <c r="U444" s="78"/>
      <c r="V444" s="78"/>
    </row>
    <row r="445" ht="15.75" customHeight="1">
      <c r="P445" s="78"/>
      <c r="Q445" s="78"/>
      <c r="R445" s="78"/>
      <c r="S445" s="78"/>
      <c r="T445" s="78"/>
      <c r="U445" s="78"/>
      <c r="V445" s="78"/>
    </row>
    <row r="446" ht="15.75" customHeight="1">
      <c r="P446" s="78"/>
      <c r="Q446" s="78"/>
      <c r="R446" s="78"/>
      <c r="S446" s="78"/>
      <c r="T446" s="78"/>
      <c r="U446" s="78"/>
      <c r="V446" s="78"/>
    </row>
    <row r="447" ht="15.75" customHeight="1">
      <c r="P447" s="78"/>
      <c r="Q447" s="78"/>
      <c r="R447" s="78"/>
      <c r="S447" s="78"/>
      <c r="T447" s="78"/>
      <c r="U447" s="78"/>
      <c r="V447" s="78"/>
    </row>
    <row r="448" ht="15.75" customHeight="1">
      <c r="P448" s="78"/>
      <c r="Q448" s="78"/>
      <c r="R448" s="78"/>
      <c r="S448" s="78"/>
      <c r="T448" s="78"/>
      <c r="U448" s="78"/>
      <c r="V448" s="78"/>
    </row>
    <row r="449" ht="15.75" customHeight="1">
      <c r="P449" s="78"/>
      <c r="Q449" s="78"/>
      <c r="R449" s="78"/>
      <c r="S449" s="78"/>
      <c r="T449" s="78"/>
      <c r="U449" s="78"/>
      <c r="V449" s="78"/>
    </row>
    <row r="450" ht="15.75" customHeight="1">
      <c r="P450" s="78"/>
      <c r="Q450" s="78"/>
      <c r="R450" s="78"/>
      <c r="S450" s="78"/>
      <c r="T450" s="78"/>
      <c r="U450" s="78"/>
      <c r="V450" s="78"/>
    </row>
    <row r="451" ht="15.75" customHeight="1">
      <c r="P451" s="78"/>
      <c r="Q451" s="78"/>
      <c r="R451" s="78"/>
      <c r="S451" s="78"/>
      <c r="T451" s="78"/>
      <c r="U451" s="78"/>
      <c r="V451" s="78"/>
    </row>
    <row r="452" ht="15.75" customHeight="1">
      <c r="P452" s="78"/>
      <c r="Q452" s="78"/>
      <c r="R452" s="78"/>
      <c r="S452" s="78"/>
      <c r="T452" s="78"/>
      <c r="U452" s="78"/>
      <c r="V452" s="78"/>
    </row>
    <row r="453" ht="15.75" customHeight="1">
      <c r="P453" s="78"/>
      <c r="Q453" s="78"/>
      <c r="R453" s="78"/>
      <c r="S453" s="78"/>
      <c r="T453" s="78"/>
      <c r="U453" s="78"/>
      <c r="V453" s="78"/>
    </row>
    <row r="454" ht="15.75" customHeight="1">
      <c r="P454" s="78"/>
      <c r="Q454" s="78"/>
      <c r="R454" s="78"/>
      <c r="S454" s="78"/>
      <c r="T454" s="78"/>
      <c r="U454" s="78"/>
      <c r="V454" s="78"/>
    </row>
    <row r="455" ht="15.75" customHeight="1">
      <c r="P455" s="78"/>
      <c r="Q455" s="78"/>
      <c r="R455" s="78"/>
      <c r="S455" s="78"/>
      <c r="T455" s="78"/>
      <c r="U455" s="78"/>
      <c r="V455" s="78"/>
    </row>
    <row r="456" ht="15.75" customHeight="1">
      <c r="P456" s="78"/>
      <c r="Q456" s="78"/>
      <c r="R456" s="78"/>
      <c r="S456" s="78"/>
      <c r="T456" s="78"/>
      <c r="U456" s="78"/>
      <c r="V456" s="78"/>
    </row>
    <row r="457" ht="15.75" customHeight="1">
      <c r="P457" s="78"/>
      <c r="Q457" s="78"/>
      <c r="R457" s="78"/>
      <c r="S457" s="78"/>
      <c r="T457" s="78"/>
      <c r="U457" s="78"/>
      <c r="V457" s="78"/>
    </row>
    <row r="458" ht="15.75" customHeight="1">
      <c r="P458" s="78"/>
      <c r="Q458" s="78"/>
      <c r="R458" s="78"/>
      <c r="S458" s="78"/>
      <c r="T458" s="78"/>
      <c r="U458" s="78"/>
      <c r="V458" s="78"/>
    </row>
    <row r="459" ht="15.75" customHeight="1">
      <c r="P459" s="78"/>
      <c r="Q459" s="78"/>
      <c r="R459" s="78"/>
      <c r="S459" s="78"/>
      <c r="T459" s="78"/>
      <c r="U459" s="78"/>
      <c r="V459" s="78"/>
    </row>
    <row r="460" ht="15.75" customHeight="1">
      <c r="P460" s="78"/>
      <c r="Q460" s="78"/>
      <c r="R460" s="78"/>
      <c r="S460" s="78"/>
      <c r="T460" s="78"/>
      <c r="U460" s="78"/>
      <c r="V460" s="78"/>
    </row>
    <row r="461" ht="15.75" customHeight="1">
      <c r="P461" s="78"/>
      <c r="Q461" s="78"/>
      <c r="R461" s="78"/>
      <c r="S461" s="78"/>
      <c r="T461" s="78"/>
      <c r="U461" s="78"/>
      <c r="V461" s="78"/>
    </row>
    <row r="462" ht="15.75" customHeight="1">
      <c r="P462" s="78"/>
      <c r="Q462" s="78"/>
      <c r="R462" s="78"/>
      <c r="S462" s="78"/>
      <c r="T462" s="78"/>
      <c r="U462" s="78"/>
      <c r="V462" s="78"/>
    </row>
    <row r="463" ht="15.75" customHeight="1">
      <c r="P463" s="78"/>
      <c r="Q463" s="78"/>
      <c r="R463" s="78"/>
      <c r="S463" s="78"/>
      <c r="T463" s="78"/>
      <c r="U463" s="78"/>
      <c r="V463" s="78"/>
    </row>
    <row r="464" ht="15.75" customHeight="1">
      <c r="P464" s="78"/>
      <c r="Q464" s="78"/>
      <c r="R464" s="78"/>
      <c r="S464" s="78"/>
      <c r="T464" s="78"/>
      <c r="U464" s="78"/>
      <c r="V464" s="78"/>
    </row>
    <row r="465" ht="15.75" customHeight="1">
      <c r="P465" s="78"/>
      <c r="Q465" s="78"/>
      <c r="R465" s="78"/>
      <c r="S465" s="78"/>
      <c r="T465" s="78"/>
      <c r="U465" s="78"/>
      <c r="V465" s="78"/>
    </row>
    <row r="466" ht="15.75" customHeight="1">
      <c r="P466" s="78"/>
      <c r="Q466" s="78"/>
      <c r="R466" s="78"/>
      <c r="S466" s="78"/>
      <c r="T466" s="78"/>
      <c r="U466" s="78"/>
      <c r="V466" s="78"/>
    </row>
    <row r="467" ht="15.75" customHeight="1">
      <c r="P467" s="78"/>
      <c r="Q467" s="78"/>
      <c r="R467" s="78"/>
      <c r="S467" s="78"/>
      <c r="T467" s="78"/>
      <c r="U467" s="78"/>
      <c r="V467" s="78"/>
    </row>
    <row r="468" ht="15.75" customHeight="1">
      <c r="P468" s="78"/>
      <c r="Q468" s="78"/>
      <c r="R468" s="78"/>
      <c r="S468" s="78"/>
      <c r="T468" s="78"/>
      <c r="U468" s="78"/>
      <c r="V468" s="78"/>
    </row>
    <row r="469" ht="15.75" customHeight="1">
      <c r="P469" s="78"/>
      <c r="Q469" s="78"/>
      <c r="R469" s="78"/>
      <c r="S469" s="78"/>
      <c r="T469" s="78"/>
      <c r="U469" s="78"/>
      <c r="V469" s="78"/>
    </row>
    <row r="470" ht="15.75" customHeight="1">
      <c r="P470" s="78"/>
      <c r="Q470" s="78"/>
      <c r="R470" s="78"/>
      <c r="S470" s="78"/>
      <c r="T470" s="78"/>
      <c r="U470" s="78"/>
      <c r="V470" s="78"/>
    </row>
    <row r="471" ht="15.75" customHeight="1">
      <c r="P471" s="78"/>
      <c r="Q471" s="78"/>
      <c r="R471" s="78"/>
      <c r="S471" s="78"/>
      <c r="T471" s="78"/>
      <c r="U471" s="78"/>
      <c r="V471" s="78"/>
    </row>
    <row r="472" ht="15.75" customHeight="1">
      <c r="P472" s="78"/>
      <c r="Q472" s="78"/>
      <c r="R472" s="78"/>
      <c r="S472" s="78"/>
      <c r="T472" s="78"/>
      <c r="U472" s="78"/>
      <c r="V472" s="78"/>
    </row>
    <row r="473" ht="15.75" customHeight="1">
      <c r="P473" s="78"/>
      <c r="Q473" s="78"/>
      <c r="R473" s="78"/>
      <c r="S473" s="78"/>
      <c r="T473" s="78"/>
      <c r="U473" s="78"/>
      <c r="V473" s="78"/>
    </row>
    <row r="474" ht="15.75" customHeight="1">
      <c r="P474" s="78"/>
      <c r="Q474" s="78"/>
      <c r="R474" s="78"/>
      <c r="S474" s="78"/>
      <c r="T474" s="78"/>
      <c r="U474" s="78"/>
      <c r="V474" s="78"/>
    </row>
    <row r="475" ht="15.75" customHeight="1">
      <c r="P475" s="78"/>
      <c r="Q475" s="78"/>
      <c r="R475" s="78"/>
      <c r="S475" s="78"/>
      <c r="T475" s="78"/>
      <c r="U475" s="78"/>
      <c r="V475" s="78"/>
    </row>
    <row r="476" ht="15.75" customHeight="1">
      <c r="P476" s="78"/>
      <c r="Q476" s="78"/>
      <c r="R476" s="78"/>
      <c r="S476" s="78"/>
      <c r="T476" s="78"/>
      <c r="U476" s="78"/>
      <c r="V476" s="78"/>
    </row>
    <row r="477" ht="15.75" customHeight="1">
      <c r="P477" s="78"/>
      <c r="Q477" s="78"/>
      <c r="R477" s="78"/>
      <c r="S477" s="78"/>
      <c r="T477" s="78"/>
      <c r="U477" s="78"/>
      <c r="V477" s="78"/>
    </row>
    <row r="478" ht="15.75" customHeight="1">
      <c r="P478" s="78"/>
      <c r="Q478" s="78"/>
      <c r="R478" s="78"/>
      <c r="S478" s="78"/>
      <c r="T478" s="78"/>
      <c r="U478" s="78"/>
      <c r="V478" s="78"/>
    </row>
    <row r="479" ht="15.75" customHeight="1">
      <c r="P479" s="78"/>
      <c r="Q479" s="78"/>
      <c r="R479" s="78"/>
      <c r="S479" s="78"/>
      <c r="T479" s="78"/>
      <c r="U479" s="78"/>
      <c r="V479" s="78"/>
    </row>
    <row r="480" ht="15.75" customHeight="1">
      <c r="P480" s="78"/>
      <c r="Q480" s="78"/>
      <c r="R480" s="78"/>
      <c r="S480" s="78"/>
      <c r="T480" s="78"/>
      <c r="U480" s="78"/>
      <c r="V480" s="78"/>
    </row>
    <row r="481" ht="15.75" customHeight="1">
      <c r="P481" s="78"/>
      <c r="Q481" s="78"/>
      <c r="R481" s="78"/>
      <c r="S481" s="78"/>
      <c r="T481" s="78"/>
      <c r="U481" s="78"/>
      <c r="V481" s="78"/>
    </row>
    <row r="482" ht="15.75" customHeight="1">
      <c r="P482" s="78"/>
      <c r="Q482" s="78"/>
      <c r="R482" s="78"/>
      <c r="S482" s="78"/>
      <c r="T482" s="78"/>
      <c r="U482" s="78"/>
      <c r="V482" s="78"/>
    </row>
    <row r="483" ht="15.75" customHeight="1">
      <c r="P483" s="78"/>
      <c r="Q483" s="78"/>
      <c r="R483" s="78"/>
      <c r="S483" s="78"/>
      <c r="T483" s="78"/>
      <c r="U483" s="78"/>
      <c r="V483" s="78"/>
    </row>
    <row r="484" ht="15.75" customHeight="1">
      <c r="P484" s="78"/>
      <c r="Q484" s="78"/>
      <c r="R484" s="78"/>
      <c r="S484" s="78"/>
      <c r="T484" s="78"/>
      <c r="U484" s="78"/>
      <c r="V484" s="78"/>
    </row>
    <row r="485" ht="15.75" customHeight="1">
      <c r="P485" s="78"/>
      <c r="Q485" s="78"/>
      <c r="R485" s="78"/>
      <c r="S485" s="78"/>
      <c r="T485" s="78"/>
      <c r="U485" s="78"/>
      <c r="V485" s="78"/>
    </row>
    <row r="486" ht="15.75" customHeight="1">
      <c r="P486" s="78"/>
      <c r="Q486" s="78"/>
      <c r="R486" s="78"/>
      <c r="S486" s="78"/>
      <c r="T486" s="78"/>
      <c r="U486" s="78"/>
      <c r="V486" s="78"/>
    </row>
    <row r="487" ht="15.75" customHeight="1">
      <c r="P487" s="78"/>
      <c r="Q487" s="78"/>
      <c r="R487" s="78"/>
      <c r="S487" s="78"/>
      <c r="T487" s="78"/>
      <c r="U487" s="78"/>
      <c r="V487" s="78"/>
    </row>
    <row r="488" ht="15.75" customHeight="1">
      <c r="P488" s="78"/>
      <c r="Q488" s="78"/>
      <c r="R488" s="78"/>
      <c r="S488" s="78"/>
      <c r="T488" s="78"/>
      <c r="U488" s="78"/>
      <c r="V488" s="78"/>
    </row>
    <row r="489" ht="15.75" customHeight="1">
      <c r="P489" s="78"/>
      <c r="Q489" s="78"/>
      <c r="R489" s="78"/>
      <c r="S489" s="78"/>
      <c r="T489" s="78"/>
      <c r="U489" s="78"/>
      <c r="V489" s="78"/>
    </row>
    <row r="490" ht="15.75" customHeight="1">
      <c r="P490" s="78"/>
      <c r="Q490" s="78"/>
      <c r="R490" s="78"/>
      <c r="S490" s="78"/>
      <c r="T490" s="78"/>
      <c r="U490" s="78"/>
      <c r="V490" s="78"/>
    </row>
    <row r="491" ht="15.75" customHeight="1">
      <c r="P491" s="78"/>
      <c r="Q491" s="78"/>
      <c r="R491" s="78"/>
      <c r="S491" s="78"/>
      <c r="T491" s="78"/>
      <c r="U491" s="78"/>
      <c r="V491" s="78"/>
    </row>
    <row r="492" ht="15.75" customHeight="1">
      <c r="P492" s="78"/>
      <c r="Q492" s="78"/>
      <c r="R492" s="78"/>
      <c r="S492" s="78"/>
      <c r="T492" s="78"/>
      <c r="U492" s="78"/>
      <c r="V492" s="78"/>
    </row>
    <row r="493" ht="15.75" customHeight="1">
      <c r="P493" s="78"/>
      <c r="Q493" s="78"/>
      <c r="R493" s="78"/>
      <c r="S493" s="78"/>
      <c r="T493" s="78"/>
      <c r="U493" s="78"/>
      <c r="V493" s="78"/>
    </row>
    <row r="494" ht="15.75" customHeight="1">
      <c r="P494" s="78"/>
      <c r="Q494" s="78"/>
      <c r="R494" s="78"/>
      <c r="S494" s="78"/>
      <c r="T494" s="78"/>
      <c r="U494" s="78"/>
      <c r="V494" s="78"/>
    </row>
    <row r="495" ht="15.75" customHeight="1">
      <c r="P495" s="78"/>
      <c r="Q495" s="78"/>
      <c r="R495" s="78"/>
      <c r="S495" s="78"/>
      <c r="T495" s="78"/>
      <c r="U495" s="78"/>
      <c r="V495" s="78"/>
    </row>
    <row r="496" ht="15.75" customHeight="1">
      <c r="P496" s="78"/>
      <c r="Q496" s="78"/>
      <c r="R496" s="78"/>
      <c r="S496" s="78"/>
      <c r="T496" s="78"/>
      <c r="U496" s="78"/>
      <c r="V496" s="78"/>
    </row>
    <row r="497" ht="15.75" customHeight="1">
      <c r="P497" s="78"/>
      <c r="Q497" s="78"/>
      <c r="R497" s="78"/>
      <c r="S497" s="78"/>
      <c r="T497" s="78"/>
      <c r="U497" s="78"/>
      <c r="V497" s="78"/>
    </row>
    <row r="498" ht="15.75" customHeight="1">
      <c r="P498" s="78"/>
      <c r="Q498" s="78"/>
      <c r="R498" s="78"/>
      <c r="S498" s="78"/>
      <c r="T498" s="78"/>
      <c r="U498" s="78"/>
      <c r="V498" s="78"/>
    </row>
    <row r="499" ht="15.75" customHeight="1">
      <c r="P499" s="78"/>
      <c r="Q499" s="78"/>
      <c r="R499" s="78"/>
      <c r="S499" s="78"/>
      <c r="T499" s="78"/>
      <c r="U499" s="78"/>
      <c r="V499" s="78"/>
    </row>
    <row r="500" ht="15.75" customHeight="1">
      <c r="P500" s="78"/>
      <c r="Q500" s="78"/>
      <c r="R500" s="78"/>
      <c r="S500" s="78"/>
      <c r="T500" s="78"/>
      <c r="U500" s="78"/>
      <c r="V500" s="78"/>
    </row>
    <row r="501" ht="15.75" customHeight="1">
      <c r="P501" s="78"/>
      <c r="Q501" s="78"/>
      <c r="R501" s="78"/>
      <c r="S501" s="78"/>
      <c r="T501" s="78"/>
      <c r="U501" s="78"/>
      <c r="V501" s="78"/>
    </row>
    <row r="502" ht="15.75" customHeight="1">
      <c r="P502" s="78"/>
      <c r="Q502" s="78"/>
      <c r="R502" s="78"/>
      <c r="S502" s="78"/>
      <c r="T502" s="78"/>
      <c r="U502" s="78"/>
      <c r="V502" s="78"/>
    </row>
    <row r="503" ht="15.75" customHeight="1">
      <c r="P503" s="78"/>
      <c r="Q503" s="78"/>
      <c r="R503" s="78"/>
      <c r="S503" s="78"/>
      <c r="T503" s="78"/>
      <c r="U503" s="78"/>
      <c r="V503" s="78"/>
    </row>
    <row r="504" ht="15.75" customHeight="1">
      <c r="P504" s="78"/>
      <c r="Q504" s="78"/>
      <c r="R504" s="78"/>
      <c r="S504" s="78"/>
      <c r="T504" s="78"/>
      <c r="U504" s="78"/>
      <c r="V504" s="78"/>
    </row>
    <row r="505" ht="15.75" customHeight="1">
      <c r="P505" s="78"/>
      <c r="Q505" s="78"/>
      <c r="R505" s="78"/>
      <c r="S505" s="78"/>
      <c r="T505" s="78"/>
      <c r="U505" s="78"/>
      <c r="V505" s="78"/>
    </row>
    <row r="506" ht="15.75" customHeight="1">
      <c r="P506" s="78"/>
      <c r="Q506" s="78"/>
      <c r="R506" s="78"/>
      <c r="S506" s="78"/>
      <c r="T506" s="78"/>
      <c r="U506" s="78"/>
      <c r="V506" s="78"/>
    </row>
    <row r="507" ht="15.75" customHeight="1">
      <c r="P507" s="78"/>
      <c r="Q507" s="78"/>
      <c r="R507" s="78"/>
      <c r="S507" s="78"/>
      <c r="T507" s="78"/>
      <c r="U507" s="78"/>
      <c r="V507" s="78"/>
    </row>
    <row r="508" ht="15.75" customHeight="1">
      <c r="P508" s="78"/>
      <c r="Q508" s="78"/>
      <c r="R508" s="78"/>
      <c r="S508" s="78"/>
      <c r="T508" s="78"/>
      <c r="U508" s="78"/>
      <c r="V508" s="78"/>
    </row>
    <row r="509" ht="15.75" customHeight="1">
      <c r="P509" s="78"/>
      <c r="Q509" s="78"/>
      <c r="R509" s="78"/>
      <c r="S509" s="78"/>
      <c r="T509" s="78"/>
      <c r="U509" s="78"/>
      <c r="V509" s="78"/>
    </row>
    <row r="510" ht="15.75" customHeight="1">
      <c r="P510" s="78"/>
      <c r="Q510" s="78"/>
      <c r="R510" s="78"/>
      <c r="S510" s="78"/>
      <c r="T510" s="78"/>
      <c r="U510" s="78"/>
      <c r="V510" s="78"/>
    </row>
    <row r="511" ht="15.75" customHeight="1">
      <c r="P511" s="78"/>
      <c r="Q511" s="78"/>
      <c r="R511" s="78"/>
      <c r="S511" s="78"/>
      <c r="T511" s="78"/>
      <c r="U511" s="78"/>
      <c r="V511" s="78"/>
    </row>
    <row r="512" ht="15.75" customHeight="1">
      <c r="P512" s="78"/>
      <c r="Q512" s="78"/>
      <c r="R512" s="78"/>
      <c r="S512" s="78"/>
      <c r="T512" s="78"/>
      <c r="U512" s="78"/>
      <c r="V512" s="78"/>
    </row>
    <row r="513" ht="15.75" customHeight="1">
      <c r="P513" s="78"/>
      <c r="Q513" s="78"/>
      <c r="R513" s="78"/>
      <c r="S513" s="78"/>
      <c r="T513" s="78"/>
      <c r="U513" s="78"/>
      <c r="V513" s="78"/>
    </row>
    <row r="514" ht="15.75" customHeight="1">
      <c r="P514" s="78"/>
      <c r="Q514" s="78"/>
      <c r="R514" s="78"/>
      <c r="S514" s="78"/>
      <c r="T514" s="78"/>
      <c r="U514" s="78"/>
      <c r="V514" s="78"/>
    </row>
    <row r="515" ht="15.75" customHeight="1">
      <c r="P515" s="78"/>
      <c r="Q515" s="78"/>
      <c r="R515" s="78"/>
      <c r="S515" s="78"/>
      <c r="T515" s="78"/>
      <c r="U515" s="78"/>
      <c r="V515" s="78"/>
    </row>
    <row r="516" ht="15.75" customHeight="1">
      <c r="P516" s="78"/>
      <c r="Q516" s="78"/>
      <c r="R516" s="78"/>
      <c r="S516" s="78"/>
      <c r="T516" s="78"/>
      <c r="U516" s="78"/>
      <c r="V516" s="78"/>
    </row>
    <row r="517" ht="15.75" customHeight="1">
      <c r="P517" s="78"/>
      <c r="Q517" s="78"/>
      <c r="R517" s="78"/>
      <c r="S517" s="78"/>
      <c r="T517" s="78"/>
      <c r="U517" s="78"/>
      <c r="V517" s="78"/>
    </row>
    <row r="518" ht="15.75" customHeight="1">
      <c r="P518" s="78"/>
      <c r="Q518" s="78"/>
      <c r="R518" s="78"/>
      <c r="S518" s="78"/>
      <c r="T518" s="78"/>
      <c r="U518" s="78"/>
      <c r="V518" s="78"/>
    </row>
    <row r="519" ht="15.75" customHeight="1">
      <c r="P519" s="78"/>
      <c r="Q519" s="78"/>
      <c r="R519" s="78"/>
      <c r="S519" s="78"/>
      <c r="T519" s="78"/>
      <c r="U519" s="78"/>
      <c r="V519" s="78"/>
    </row>
    <row r="520" ht="15.75" customHeight="1">
      <c r="P520" s="78"/>
      <c r="Q520" s="78"/>
      <c r="R520" s="78"/>
      <c r="S520" s="78"/>
      <c r="T520" s="78"/>
      <c r="U520" s="78"/>
      <c r="V520" s="78"/>
    </row>
    <row r="521" ht="15.75" customHeight="1">
      <c r="P521" s="78"/>
      <c r="Q521" s="78"/>
      <c r="R521" s="78"/>
      <c r="S521" s="78"/>
      <c r="T521" s="78"/>
      <c r="U521" s="78"/>
      <c r="V521" s="78"/>
    </row>
    <row r="522" ht="15.75" customHeight="1">
      <c r="P522" s="78"/>
      <c r="Q522" s="78"/>
      <c r="R522" s="78"/>
      <c r="S522" s="78"/>
      <c r="T522" s="78"/>
      <c r="U522" s="78"/>
      <c r="V522" s="78"/>
    </row>
    <row r="523" ht="15.75" customHeight="1">
      <c r="P523" s="78"/>
      <c r="Q523" s="78"/>
      <c r="R523" s="78"/>
      <c r="S523" s="78"/>
      <c r="T523" s="78"/>
      <c r="U523" s="78"/>
      <c r="V523" s="78"/>
    </row>
    <row r="524" ht="15.75" customHeight="1">
      <c r="P524" s="78"/>
      <c r="Q524" s="78"/>
      <c r="R524" s="78"/>
      <c r="S524" s="78"/>
      <c r="T524" s="78"/>
      <c r="U524" s="78"/>
      <c r="V524" s="78"/>
    </row>
    <row r="525" ht="15.75" customHeight="1">
      <c r="P525" s="78"/>
      <c r="Q525" s="78"/>
      <c r="R525" s="78"/>
      <c r="S525" s="78"/>
      <c r="T525" s="78"/>
      <c r="U525" s="78"/>
      <c r="V525" s="78"/>
    </row>
    <row r="526" ht="15.75" customHeight="1">
      <c r="P526" s="78"/>
      <c r="Q526" s="78"/>
      <c r="R526" s="78"/>
      <c r="S526" s="78"/>
      <c r="T526" s="78"/>
      <c r="U526" s="78"/>
      <c r="V526" s="78"/>
    </row>
    <row r="527" ht="15.75" customHeight="1">
      <c r="P527" s="78"/>
      <c r="Q527" s="78"/>
      <c r="R527" s="78"/>
      <c r="S527" s="78"/>
      <c r="T527" s="78"/>
      <c r="U527" s="78"/>
      <c r="V527" s="78"/>
    </row>
    <row r="528" ht="15.75" customHeight="1">
      <c r="P528" s="78"/>
      <c r="Q528" s="78"/>
      <c r="R528" s="78"/>
      <c r="S528" s="78"/>
      <c r="T528" s="78"/>
      <c r="U528" s="78"/>
      <c r="V528" s="78"/>
    </row>
    <row r="529" ht="15.75" customHeight="1">
      <c r="P529" s="78"/>
      <c r="Q529" s="78"/>
      <c r="R529" s="78"/>
      <c r="S529" s="78"/>
      <c r="T529" s="78"/>
      <c r="U529" s="78"/>
      <c r="V529" s="78"/>
    </row>
    <row r="530" ht="15.75" customHeight="1">
      <c r="P530" s="78"/>
      <c r="Q530" s="78"/>
      <c r="R530" s="78"/>
      <c r="S530" s="78"/>
      <c r="T530" s="78"/>
      <c r="U530" s="78"/>
      <c r="V530" s="78"/>
    </row>
    <row r="531" ht="15.75" customHeight="1">
      <c r="P531" s="78"/>
      <c r="Q531" s="78"/>
      <c r="R531" s="78"/>
      <c r="S531" s="78"/>
      <c r="T531" s="78"/>
      <c r="U531" s="78"/>
      <c r="V531" s="78"/>
    </row>
    <row r="532" ht="15.75" customHeight="1">
      <c r="P532" s="78"/>
      <c r="Q532" s="78"/>
      <c r="R532" s="78"/>
      <c r="S532" s="78"/>
      <c r="T532" s="78"/>
      <c r="U532" s="78"/>
      <c r="V532" s="78"/>
    </row>
    <row r="533" ht="15.75" customHeight="1">
      <c r="P533" s="78"/>
      <c r="Q533" s="78"/>
      <c r="R533" s="78"/>
      <c r="S533" s="78"/>
      <c r="T533" s="78"/>
      <c r="U533" s="78"/>
      <c r="V533" s="78"/>
    </row>
    <row r="534" ht="15.75" customHeight="1">
      <c r="P534" s="78"/>
      <c r="Q534" s="78"/>
      <c r="R534" s="78"/>
      <c r="S534" s="78"/>
      <c r="T534" s="78"/>
      <c r="U534" s="78"/>
      <c r="V534" s="78"/>
    </row>
    <row r="535" ht="15.75" customHeight="1">
      <c r="P535" s="78"/>
      <c r="Q535" s="78"/>
      <c r="R535" s="78"/>
      <c r="S535" s="78"/>
      <c r="T535" s="78"/>
      <c r="U535" s="78"/>
      <c r="V535" s="78"/>
    </row>
    <row r="536" ht="15.75" customHeight="1">
      <c r="P536" s="78"/>
      <c r="Q536" s="78"/>
      <c r="R536" s="78"/>
      <c r="S536" s="78"/>
      <c r="T536" s="78"/>
      <c r="U536" s="78"/>
      <c r="V536" s="78"/>
    </row>
    <row r="537" ht="15.75" customHeight="1">
      <c r="P537" s="78"/>
      <c r="Q537" s="78"/>
      <c r="R537" s="78"/>
      <c r="S537" s="78"/>
      <c r="T537" s="78"/>
      <c r="U537" s="78"/>
      <c r="V537" s="78"/>
    </row>
    <row r="538" ht="15.75" customHeight="1">
      <c r="P538" s="78"/>
      <c r="Q538" s="78"/>
      <c r="R538" s="78"/>
      <c r="S538" s="78"/>
      <c r="T538" s="78"/>
      <c r="U538" s="78"/>
      <c r="V538" s="78"/>
    </row>
    <row r="539" ht="15.75" customHeight="1">
      <c r="P539" s="78"/>
      <c r="Q539" s="78"/>
      <c r="R539" s="78"/>
      <c r="S539" s="78"/>
      <c r="T539" s="78"/>
      <c r="U539" s="78"/>
      <c r="V539" s="78"/>
    </row>
    <row r="540" ht="15.75" customHeight="1">
      <c r="P540" s="78"/>
      <c r="Q540" s="78"/>
      <c r="R540" s="78"/>
      <c r="S540" s="78"/>
      <c r="T540" s="78"/>
      <c r="U540" s="78"/>
      <c r="V540" s="78"/>
    </row>
    <row r="541" ht="15.75" customHeight="1">
      <c r="P541" s="78"/>
      <c r="Q541" s="78"/>
      <c r="R541" s="78"/>
      <c r="S541" s="78"/>
      <c r="T541" s="78"/>
      <c r="U541" s="78"/>
      <c r="V541" s="78"/>
    </row>
    <row r="542" ht="15.75" customHeight="1">
      <c r="P542" s="78"/>
      <c r="Q542" s="78"/>
      <c r="R542" s="78"/>
      <c r="S542" s="78"/>
      <c r="T542" s="78"/>
      <c r="U542" s="78"/>
      <c r="V542" s="78"/>
    </row>
    <row r="543" ht="15.75" customHeight="1">
      <c r="P543" s="78"/>
      <c r="Q543" s="78"/>
      <c r="R543" s="78"/>
      <c r="S543" s="78"/>
      <c r="T543" s="78"/>
      <c r="U543" s="78"/>
      <c r="V543" s="78"/>
    </row>
    <row r="544" ht="15.75" customHeight="1">
      <c r="P544" s="78"/>
      <c r="Q544" s="78"/>
      <c r="R544" s="78"/>
      <c r="S544" s="78"/>
      <c r="T544" s="78"/>
      <c r="U544" s="78"/>
      <c r="V544" s="78"/>
    </row>
    <row r="545" ht="15.75" customHeight="1">
      <c r="P545" s="78"/>
      <c r="Q545" s="78"/>
      <c r="R545" s="78"/>
      <c r="S545" s="78"/>
      <c r="T545" s="78"/>
      <c r="U545" s="78"/>
      <c r="V545" s="78"/>
    </row>
    <row r="546" ht="15.75" customHeight="1">
      <c r="P546" s="78"/>
      <c r="Q546" s="78"/>
      <c r="R546" s="78"/>
      <c r="S546" s="78"/>
      <c r="T546" s="78"/>
      <c r="U546" s="78"/>
      <c r="V546" s="78"/>
    </row>
    <row r="547" ht="15.75" customHeight="1">
      <c r="P547" s="78"/>
      <c r="Q547" s="78"/>
      <c r="R547" s="78"/>
      <c r="S547" s="78"/>
      <c r="T547" s="78"/>
      <c r="U547" s="78"/>
      <c r="V547" s="78"/>
    </row>
    <row r="548" ht="15.75" customHeight="1">
      <c r="P548" s="78"/>
      <c r="Q548" s="78"/>
      <c r="R548" s="78"/>
      <c r="S548" s="78"/>
      <c r="T548" s="78"/>
      <c r="U548" s="78"/>
      <c r="V548" s="78"/>
    </row>
    <row r="549" ht="15.75" customHeight="1">
      <c r="P549" s="78"/>
      <c r="Q549" s="78"/>
      <c r="R549" s="78"/>
      <c r="S549" s="78"/>
      <c r="T549" s="78"/>
      <c r="U549" s="78"/>
      <c r="V549" s="78"/>
    </row>
    <row r="550" ht="15.75" customHeight="1">
      <c r="P550" s="78"/>
      <c r="Q550" s="78"/>
      <c r="R550" s="78"/>
      <c r="S550" s="78"/>
      <c r="T550" s="78"/>
      <c r="U550" s="78"/>
      <c r="V550" s="78"/>
    </row>
    <row r="551" ht="15.75" customHeight="1">
      <c r="P551" s="78"/>
      <c r="Q551" s="78"/>
      <c r="R551" s="78"/>
      <c r="S551" s="78"/>
      <c r="T551" s="78"/>
      <c r="U551" s="78"/>
      <c r="V551" s="78"/>
    </row>
    <row r="552" ht="15.75" customHeight="1">
      <c r="P552" s="78"/>
      <c r="Q552" s="78"/>
      <c r="R552" s="78"/>
      <c r="S552" s="78"/>
      <c r="T552" s="78"/>
      <c r="U552" s="78"/>
      <c r="V552" s="78"/>
    </row>
    <row r="553" ht="15.75" customHeight="1">
      <c r="P553" s="78"/>
      <c r="Q553" s="78"/>
      <c r="R553" s="78"/>
      <c r="S553" s="78"/>
      <c r="T553" s="78"/>
      <c r="U553" s="78"/>
      <c r="V553" s="78"/>
    </row>
    <row r="554" ht="15.75" customHeight="1">
      <c r="P554" s="78"/>
      <c r="Q554" s="78"/>
      <c r="R554" s="78"/>
      <c r="S554" s="78"/>
      <c r="T554" s="78"/>
      <c r="U554" s="78"/>
      <c r="V554" s="78"/>
    </row>
    <row r="555" ht="15.75" customHeight="1">
      <c r="P555" s="78"/>
      <c r="Q555" s="78"/>
      <c r="R555" s="78"/>
      <c r="S555" s="78"/>
      <c r="T555" s="78"/>
      <c r="U555" s="78"/>
      <c r="V555" s="78"/>
    </row>
    <row r="556" ht="15.75" customHeight="1">
      <c r="P556" s="78"/>
      <c r="Q556" s="78"/>
      <c r="R556" s="78"/>
      <c r="S556" s="78"/>
      <c r="T556" s="78"/>
      <c r="U556" s="78"/>
      <c r="V556" s="78"/>
    </row>
    <row r="557" ht="15.75" customHeight="1">
      <c r="P557" s="78"/>
      <c r="Q557" s="78"/>
      <c r="R557" s="78"/>
      <c r="S557" s="78"/>
      <c r="T557" s="78"/>
      <c r="U557" s="78"/>
      <c r="V557" s="78"/>
    </row>
    <row r="558" ht="15.75" customHeight="1">
      <c r="P558" s="78"/>
      <c r="Q558" s="78"/>
      <c r="R558" s="78"/>
      <c r="S558" s="78"/>
      <c r="T558" s="78"/>
      <c r="U558" s="78"/>
      <c r="V558" s="78"/>
    </row>
    <row r="559" ht="15.75" customHeight="1">
      <c r="P559" s="78"/>
      <c r="Q559" s="78"/>
      <c r="R559" s="78"/>
      <c r="S559" s="78"/>
      <c r="T559" s="78"/>
      <c r="U559" s="78"/>
      <c r="V559" s="78"/>
    </row>
    <row r="560" ht="15.75" customHeight="1">
      <c r="P560" s="78"/>
      <c r="Q560" s="78"/>
      <c r="R560" s="78"/>
      <c r="S560" s="78"/>
      <c r="T560" s="78"/>
      <c r="U560" s="78"/>
      <c r="V560" s="78"/>
    </row>
    <row r="561" ht="15.75" customHeight="1">
      <c r="P561" s="78"/>
      <c r="Q561" s="78"/>
      <c r="R561" s="78"/>
      <c r="S561" s="78"/>
      <c r="T561" s="78"/>
      <c r="U561" s="78"/>
      <c r="V561" s="78"/>
    </row>
    <row r="562" ht="15.75" customHeight="1">
      <c r="P562" s="78"/>
      <c r="Q562" s="78"/>
      <c r="R562" s="78"/>
      <c r="S562" s="78"/>
      <c r="T562" s="78"/>
      <c r="U562" s="78"/>
      <c r="V562" s="78"/>
    </row>
    <row r="563" ht="15.75" customHeight="1">
      <c r="P563" s="78"/>
      <c r="Q563" s="78"/>
      <c r="R563" s="78"/>
      <c r="S563" s="78"/>
      <c r="T563" s="78"/>
      <c r="U563" s="78"/>
      <c r="V563" s="78"/>
    </row>
    <row r="564" ht="15.75" customHeight="1">
      <c r="P564" s="78"/>
      <c r="Q564" s="78"/>
      <c r="R564" s="78"/>
      <c r="S564" s="78"/>
      <c r="T564" s="78"/>
      <c r="U564" s="78"/>
      <c r="V564" s="78"/>
    </row>
    <row r="565" ht="15.75" customHeight="1">
      <c r="P565" s="78"/>
      <c r="Q565" s="78"/>
      <c r="R565" s="78"/>
      <c r="S565" s="78"/>
      <c r="T565" s="78"/>
      <c r="U565" s="78"/>
      <c r="V565" s="78"/>
    </row>
    <row r="566" ht="15.75" customHeight="1">
      <c r="P566" s="78"/>
      <c r="Q566" s="78"/>
      <c r="R566" s="78"/>
      <c r="S566" s="78"/>
      <c r="T566" s="78"/>
      <c r="U566" s="78"/>
      <c r="V566" s="78"/>
    </row>
    <row r="567" ht="15.75" customHeight="1">
      <c r="P567" s="78"/>
      <c r="Q567" s="78"/>
      <c r="R567" s="78"/>
      <c r="S567" s="78"/>
      <c r="T567" s="78"/>
      <c r="U567" s="78"/>
      <c r="V567" s="78"/>
    </row>
    <row r="568" ht="15.75" customHeight="1">
      <c r="P568" s="78"/>
      <c r="Q568" s="78"/>
      <c r="R568" s="78"/>
      <c r="S568" s="78"/>
      <c r="T568" s="78"/>
      <c r="U568" s="78"/>
      <c r="V568" s="78"/>
    </row>
    <row r="569" ht="15.75" customHeight="1">
      <c r="P569" s="78"/>
      <c r="Q569" s="78"/>
      <c r="R569" s="78"/>
      <c r="S569" s="78"/>
      <c r="T569" s="78"/>
      <c r="U569" s="78"/>
      <c r="V569" s="78"/>
    </row>
    <row r="570" ht="15.75" customHeight="1">
      <c r="P570" s="78"/>
      <c r="Q570" s="78"/>
      <c r="R570" s="78"/>
      <c r="S570" s="78"/>
      <c r="T570" s="78"/>
      <c r="U570" s="78"/>
      <c r="V570" s="78"/>
    </row>
    <row r="571" ht="15.75" customHeight="1">
      <c r="P571" s="78"/>
      <c r="Q571" s="78"/>
      <c r="R571" s="78"/>
      <c r="S571" s="78"/>
      <c r="T571" s="78"/>
      <c r="U571" s="78"/>
      <c r="V571" s="78"/>
    </row>
    <row r="572" ht="15.75" customHeight="1">
      <c r="P572" s="78"/>
      <c r="Q572" s="78"/>
      <c r="R572" s="78"/>
      <c r="S572" s="78"/>
      <c r="T572" s="78"/>
      <c r="U572" s="78"/>
      <c r="V572" s="78"/>
    </row>
    <row r="573" ht="15.75" customHeight="1">
      <c r="P573" s="78"/>
      <c r="Q573" s="78"/>
      <c r="R573" s="78"/>
      <c r="S573" s="78"/>
      <c r="T573" s="78"/>
      <c r="U573" s="78"/>
      <c r="V573" s="78"/>
    </row>
    <row r="574" ht="15.75" customHeight="1">
      <c r="P574" s="78"/>
      <c r="Q574" s="78"/>
      <c r="R574" s="78"/>
      <c r="S574" s="78"/>
      <c r="T574" s="78"/>
      <c r="U574" s="78"/>
      <c r="V574" s="78"/>
    </row>
    <row r="575" ht="15.75" customHeight="1">
      <c r="P575" s="78"/>
      <c r="Q575" s="78"/>
      <c r="R575" s="78"/>
      <c r="S575" s="78"/>
      <c r="T575" s="78"/>
      <c r="U575" s="78"/>
      <c r="V575" s="78"/>
    </row>
    <row r="576" ht="15.75" customHeight="1">
      <c r="P576" s="78"/>
      <c r="Q576" s="78"/>
      <c r="R576" s="78"/>
      <c r="S576" s="78"/>
      <c r="T576" s="78"/>
      <c r="U576" s="78"/>
      <c r="V576" s="78"/>
    </row>
    <row r="577" ht="15.75" customHeight="1">
      <c r="P577" s="78"/>
      <c r="Q577" s="78"/>
      <c r="R577" s="78"/>
      <c r="S577" s="78"/>
      <c r="T577" s="78"/>
      <c r="U577" s="78"/>
      <c r="V577" s="78"/>
    </row>
    <row r="578" ht="15.75" customHeight="1">
      <c r="P578" s="78"/>
      <c r="Q578" s="78"/>
      <c r="R578" s="78"/>
      <c r="S578" s="78"/>
      <c r="T578" s="78"/>
      <c r="U578" s="78"/>
      <c r="V578" s="78"/>
    </row>
    <row r="579" ht="15.75" customHeight="1">
      <c r="P579" s="78"/>
      <c r="Q579" s="78"/>
      <c r="R579" s="78"/>
      <c r="S579" s="78"/>
      <c r="T579" s="78"/>
      <c r="U579" s="78"/>
      <c r="V579" s="78"/>
    </row>
    <row r="580" ht="15.75" customHeight="1">
      <c r="P580" s="78"/>
      <c r="Q580" s="78"/>
      <c r="R580" s="78"/>
      <c r="S580" s="78"/>
      <c r="T580" s="78"/>
      <c r="U580" s="78"/>
      <c r="V580" s="78"/>
    </row>
    <row r="581" ht="15.75" customHeight="1">
      <c r="P581" s="78"/>
      <c r="Q581" s="78"/>
      <c r="R581" s="78"/>
      <c r="S581" s="78"/>
      <c r="T581" s="78"/>
      <c r="U581" s="78"/>
      <c r="V581" s="78"/>
    </row>
    <row r="582" ht="15.75" customHeight="1">
      <c r="P582" s="78"/>
      <c r="Q582" s="78"/>
      <c r="R582" s="78"/>
      <c r="S582" s="78"/>
      <c r="T582" s="78"/>
      <c r="U582" s="78"/>
      <c r="V582" s="78"/>
    </row>
    <row r="583" ht="15.75" customHeight="1">
      <c r="P583" s="78"/>
      <c r="Q583" s="78"/>
      <c r="R583" s="78"/>
      <c r="S583" s="78"/>
      <c r="T583" s="78"/>
      <c r="U583" s="78"/>
      <c r="V583" s="78"/>
    </row>
    <row r="584" ht="15.75" customHeight="1">
      <c r="P584" s="78"/>
      <c r="Q584" s="78"/>
      <c r="R584" s="78"/>
      <c r="S584" s="78"/>
      <c r="T584" s="78"/>
      <c r="U584" s="78"/>
      <c r="V584" s="78"/>
    </row>
    <row r="585" ht="15.75" customHeight="1">
      <c r="P585" s="78"/>
      <c r="Q585" s="78"/>
      <c r="R585" s="78"/>
      <c r="S585" s="78"/>
      <c r="T585" s="78"/>
      <c r="U585" s="78"/>
      <c r="V585" s="78"/>
    </row>
    <row r="586" ht="15.75" customHeight="1">
      <c r="P586" s="78"/>
      <c r="Q586" s="78"/>
      <c r="R586" s="78"/>
      <c r="S586" s="78"/>
      <c r="T586" s="78"/>
      <c r="U586" s="78"/>
      <c r="V586" s="78"/>
    </row>
    <row r="587" ht="15.75" customHeight="1">
      <c r="P587" s="78"/>
      <c r="Q587" s="78"/>
      <c r="R587" s="78"/>
      <c r="S587" s="78"/>
      <c r="T587" s="78"/>
      <c r="U587" s="78"/>
      <c r="V587" s="78"/>
    </row>
    <row r="588" ht="15.75" customHeight="1">
      <c r="P588" s="78"/>
      <c r="Q588" s="78"/>
      <c r="R588" s="78"/>
      <c r="S588" s="78"/>
      <c r="T588" s="78"/>
      <c r="U588" s="78"/>
      <c r="V588" s="78"/>
    </row>
    <row r="589" ht="15.75" customHeight="1">
      <c r="P589" s="78"/>
      <c r="Q589" s="78"/>
      <c r="R589" s="78"/>
      <c r="S589" s="78"/>
      <c r="T589" s="78"/>
      <c r="U589" s="78"/>
      <c r="V589" s="78"/>
    </row>
    <row r="590" ht="15.75" customHeight="1">
      <c r="P590" s="78"/>
      <c r="Q590" s="78"/>
      <c r="R590" s="78"/>
      <c r="S590" s="78"/>
      <c r="T590" s="78"/>
      <c r="U590" s="78"/>
      <c r="V590" s="78"/>
    </row>
    <row r="591" ht="15.75" customHeight="1">
      <c r="P591" s="78"/>
      <c r="Q591" s="78"/>
      <c r="R591" s="78"/>
      <c r="S591" s="78"/>
      <c r="T591" s="78"/>
      <c r="U591" s="78"/>
      <c r="V591" s="78"/>
    </row>
    <row r="592" ht="15.75" customHeight="1">
      <c r="P592" s="78"/>
      <c r="Q592" s="78"/>
      <c r="R592" s="78"/>
      <c r="S592" s="78"/>
      <c r="T592" s="78"/>
      <c r="U592" s="78"/>
      <c r="V592" s="78"/>
    </row>
    <row r="593" ht="15.75" customHeight="1">
      <c r="P593" s="78"/>
      <c r="Q593" s="78"/>
      <c r="R593" s="78"/>
      <c r="S593" s="78"/>
      <c r="T593" s="78"/>
      <c r="U593" s="78"/>
      <c r="V593" s="78"/>
    </row>
    <row r="594" ht="15.75" customHeight="1">
      <c r="P594" s="78"/>
      <c r="Q594" s="78"/>
      <c r="R594" s="78"/>
      <c r="S594" s="78"/>
      <c r="T594" s="78"/>
      <c r="U594" s="78"/>
      <c r="V594" s="78"/>
    </row>
    <row r="595" ht="15.75" customHeight="1">
      <c r="P595" s="78"/>
      <c r="Q595" s="78"/>
      <c r="R595" s="78"/>
      <c r="S595" s="78"/>
      <c r="T595" s="78"/>
      <c r="U595" s="78"/>
      <c r="V595" s="78"/>
    </row>
    <row r="596" ht="15.75" customHeight="1">
      <c r="P596" s="78"/>
      <c r="Q596" s="78"/>
      <c r="R596" s="78"/>
      <c r="S596" s="78"/>
      <c r="T596" s="78"/>
      <c r="U596" s="78"/>
      <c r="V596" s="78"/>
    </row>
    <row r="597" ht="15.75" customHeight="1">
      <c r="P597" s="78"/>
      <c r="Q597" s="78"/>
      <c r="R597" s="78"/>
      <c r="S597" s="78"/>
      <c r="T597" s="78"/>
      <c r="U597" s="78"/>
      <c r="V597" s="78"/>
    </row>
    <row r="598" ht="15.75" customHeight="1">
      <c r="P598" s="78"/>
      <c r="Q598" s="78"/>
      <c r="R598" s="78"/>
      <c r="S598" s="78"/>
      <c r="T598" s="78"/>
      <c r="U598" s="78"/>
      <c r="V598" s="78"/>
    </row>
    <row r="599" ht="15.75" customHeight="1">
      <c r="P599" s="78"/>
      <c r="Q599" s="78"/>
      <c r="R599" s="78"/>
      <c r="S599" s="78"/>
      <c r="T599" s="78"/>
      <c r="U599" s="78"/>
      <c r="V599" s="78"/>
    </row>
    <row r="600" ht="15.75" customHeight="1">
      <c r="P600" s="78"/>
      <c r="Q600" s="78"/>
      <c r="R600" s="78"/>
      <c r="S600" s="78"/>
      <c r="T600" s="78"/>
      <c r="U600" s="78"/>
      <c r="V600" s="78"/>
    </row>
    <row r="601" ht="15.75" customHeight="1">
      <c r="P601" s="78"/>
      <c r="Q601" s="78"/>
      <c r="R601" s="78"/>
      <c r="S601" s="78"/>
      <c r="T601" s="78"/>
      <c r="U601" s="78"/>
      <c r="V601" s="78"/>
    </row>
    <row r="602" ht="15.75" customHeight="1">
      <c r="P602" s="78"/>
      <c r="Q602" s="78"/>
      <c r="R602" s="78"/>
      <c r="S602" s="78"/>
      <c r="T602" s="78"/>
      <c r="U602" s="78"/>
      <c r="V602" s="78"/>
    </row>
    <row r="603" ht="15.75" customHeight="1">
      <c r="P603" s="78"/>
      <c r="Q603" s="78"/>
      <c r="R603" s="78"/>
      <c r="S603" s="78"/>
      <c r="T603" s="78"/>
      <c r="U603" s="78"/>
      <c r="V603" s="78"/>
    </row>
    <row r="604" ht="15.75" customHeight="1">
      <c r="P604" s="78"/>
      <c r="Q604" s="78"/>
      <c r="R604" s="78"/>
      <c r="S604" s="78"/>
      <c r="T604" s="78"/>
      <c r="U604" s="78"/>
      <c r="V604" s="78"/>
    </row>
    <row r="605" ht="15.75" customHeight="1">
      <c r="P605" s="78"/>
      <c r="Q605" s="78"/>
      <c r="R605" s="78"/>
      <c r="S605" s="78"/>
      <c r="T605" s="78"/>
      <c r="U605" s="78"/>
      <c r="V605" s="78"/>
    </row>
    <row r="606" ht="15.75" customHeight="1">
      <c r="P606" s="78"/>
      <c r="Q606" s="78"/>
      <c r="R606" s="78"/>
      <c r="S606" s="78"/>
      <c r="T606" s="78"/>
      <c r="U606" s="78"/>
      <c r="V606" s="78"/>
    </row>
    <row r="607" ht="15.75" customHeight="1">
      <c r="P607" s="78"/>
      <c r="Q607" s="78"/>
      <c r="R607" s="78"/>
      <c r="S607" s="78"/>
      <c r="T607" s="78"/>
      <c r="U607" s="78"/>
      <c r="V607" s="78"/>
    </row>
    <row r="608" ht="15.75" customHeight="1">
      <c r="P608" s="78"/>
      <c r="Q608" s="78"/>
      <c r="R608" s="78"/>
      <c r="S608" s="78"/>
      <c r="T608" s="78"/>
      <c r="U608" s="78"/>
      <c r="V608" s="78"/>
    </row>
    <row r="609" ht="15.75" customHeight="1">
      <c r="P609" s="78"/>
      <c r="Q609" s="78"/>
      <c r="R609" s="78"/>
      <c r="S609" s="78"/>
      <c r="T609" s="78"/>
      <c r="U609" s="78"/>
      <c r="V609" s="78"/>
    </row>
    <row r="610" ht="15.75" customHeight="1">
      <c r="P610" s="78"/>
      <c r="Q610" s="78"/>
      <c r="R610" s="78"/>
      <c r="S610" s="78"/>
      <c r="T610" s="78"/>
      <c r="U610" s="78"/>
      <c r="V610" s="78"/>
    </row>
    <row r="611" ht="15.75" customHeight="1">
      <c r="P611" s="78"/>
      <c r="Q611" s="78"/>
      <c r="R611" s="78"/>
      <c r="S611" s="78"/>
      <c r="T611" s="78"/>
      <c r="U611" s="78"/>
      <c r="V611" s="78"/>
    </row>
    <row r="612" ht="15.75" customHeight="1">
      <c r="P612" s="78"/>
      <c r="Q612" s="78"/>
      <c r="R612" s="78"/>
      <c r="S612" s="78"/>
      <c r="T612" s="78"/>
      <c r="U612" s="78"/>
      <c r="V612" s="78"/>
    </row>
    <row r="613" ht="15.75" customHeight="1">
      <c r="P613" s="78"/>
      <c r="Q613" s="78"/>
      <c r="R613" s="78"/>
      <c r="S613" s="78"/>
      <c r="T613" s="78"/>
      <c r="U613" s="78"/>
      <c r="V613" s="78"/>
    </row>
    <row r="614" ht="15.75" customHeight="1">
      <c r="P614" s="78"/>
      <c r="Q614" s="78"/>
      <c r="R614" s="78"/>
      <c r="S614" s="78"/>
      <c r="T614" s="78"/>
      <c r="U614" s="78"/>
      <c r="V614" s="78"/>
    </row>
    <row r="615" ht="15.75" customHeight="1">
      <c r="P615" s="78"/>
      <c r="Q615" s="78"/>
      <c r="R615" s="78"/>
      <c r="S615" s="78"/>
      <c r="T615" s="78"/>
      <c r="U615" s="78"/>
      <c r="V615" s="78"/>
    </row>
    <row r="616" ht="15.75" customHeight="1">
      <c r="P616" s="78"/>
      <c r="Q616" s="78"/>
      <c r="R616" s="78"/>
      <c r="S616" s="78"/>
      <c r="T616" s="78"/>
      <c r="U616" s="78"/>
      <c r="V616" s="78"/>
    </row>
    <row r="617" ht="15.75" customHeight="1">
      <c r="P617" s="78"/>
      <c r="Q617" s="78"/>
      <c r="R617" s="78"/>
      <c r="S617" s="78"/>
      <c r="T617" s="78"/>
      <c r="U617" s="78"/>
      <c r="V617" s="78"/>
    </row>
    <row r="618" ht="15.75" customHeight="1">
      <c r="P618" s="78"/>
      <c r="Q618" s="78"/>
      <c r="R618" s="78"/>
      <c r="S618" s="78"/>
      <c r="T618" s="78"/>
      <c r="U618" s="78"/>
      <c r="V618" s="78"/>
    </row>
    <row r="619" ht="15.75" customHeight="1">
      <c r="P619" s="78"/>
      <c r="Q619" s="78"/>
      <c r="R619" s="78"/>
      <c r="S619" s="78"/>
      <c r="T619" s="78"/>
      <c r="U619" s="78"/>
      <c r="V619" s="78"/>
    </row>
    <row r="620" ht="15.75" customHeight="1">
      <c r="P620" s="78"/>
      <c r="Q620" s="78"/>
      <c r="R620" s="78"/>
      <c r="S620" s="78"/>
      <c r="T620" s="78"/>
      <c r="U620" s="78"/>
      <c r="V620" s="78"/>
    </row>
    <row r="621" ht="15.75" customHeight="1">
      <c r="P621" s="78"/>
      <c r="Q621" s="78"/>
      <c r="R621" s="78"/>
      <c r="S621" s="78"/>
      <c r="T621" s="78"/>
      <c r="U621" s="78"/>
      <c r="V621" s="78"/>
    </row>
    <row r="622" ht="15.75" customHeight="1">
      <c r="P622" s="78"/>
      <c r="Q622" s="78"/>
      <c r="R622" s="78"/>
      <c r="S622" s="78"/>
      <c r="T622" s="78"/>
      <c r="U622" s="78"/>
      <c r="V622" s="78"/>
    </row>
    <row r="623" ht="15.75" customHeight="1">
      <c r="P623" s="78"/>
      <c r="Q623" s="78"/>
      <c r="R623" s="78"/>
      <c r="S623" s="78"/>
      <c r="T623" s="78"/>
      <c r="U623" s="78"/>
      <c r="V623" s="78"/>
    </row>
    <row r="624" ht="15.75" customHeight="1">
      <c r="P624" s="78"/>
      <c r="Q624" s="78"/>
      <c r="R624" s="78"/>
      <c r="S624" s="78"/>
      <c r="T624" s="78"/>
      <c r="U624" s="78"/>
      <c r="V624" s="78"/>
    </row>
    <row r="625" ht="15.75" customHeight="1">
      <c r="P625" s="78"/>
      <c r="Q625" s="78"/>
      <c r="R625" s="78"/>
      <c r="S625" s="78"/>
      <c r="T625" s="78"/>
      <c r="U625" s="78"/>
      <c r="V625" s="78"/>
    </row>
    <row r="626" ht="15.75" customHeight="1">
      <c r="P626" s="78"/>
      <c r="Q626" s="78"/>
      <c r="R626" s="78"/>
      <c r="S626" s="78"/>
      <c r="T626" s="78"/>
      <c r="U626" s="78"/>
      <c r="V626" s="78"/>
    </row>
    <row r="627" ht="15.75" customHeight="1">
      <c r="P627" s="78"/>
      <c r="Q627" s="78"/>
      <c r="R627" s="78"/>
      <c r="S627" s="78"/>
      <c r="T627" s="78"/>
      <c r="U627" s="78"/>
      <c r="V627" s="78"/>
    </row>
    <row r="628" ht="15.75" customHeight="1">
      <c r="P628" s="78"/>
      <c r="Q628" s="78"/>
      <c r="R628" s="78"/>
      <c r="S628" s="78"/>
      <c r="T628" s="78"/>
      <c r="U628" s="78"/>
      <c r="V628" s="78"/>
    </row>
    <row r="629" ht="15.75" customHeight="1">
      <c r="P629" s="78"/>
      <c r="Q629" s="78"/>
      <c r="R629" s="78"/>
      <c r="S629" s="78"/>
      <c r="T629" s="78"/>
      <c r="U629" s="78"/>
      <c r="V629" s="78"/>
    </row>
    <row r="630" ht="15.75" customHeight="1">
      <c r="P630" s="78"/>
      <c r="Q630" s="78"/>
      <c r="R630" s="78"/>
      <c r="S630" s="78"/>
      <c r="T630" s="78"/>
      <c r="U630" s="78"/>
      <c r="V630" s="78"/>
    </row>
    <row r="631" ht="15.75" customHeight="1">
      <c r="P631" s="78"/>
      <c r="Q631" s="78"/>
      <c r="R631" s="78"/>
      <c r="S631" s="78"/>
      <c r="T631" s="78"/>
      <c r="U631" s="78"/>
      <c r="V631" s="78"/>
    </row>
    <row r="632" ht="15.75" customHeight="1">
      <c r="P632" s="78"/>
      <c r="Q632" s="78"/>
      <c r="R632" s="78"/>
      <c r="S632" s="78"/>
      <c r="T632" s="78"/>
      <c r="U632" s="78"/>
      <c r="V632" s="78"/>
    </row>
    <row r="633" ht="15.75" customHeight="1">
      <c r="P633" s="78"/>
      <c r="Q633" s="78"/>
      <c r="R633" s="78"/>
      <c r="S633" s="78"/>
      <c r="T633" s="78"/>
      <c r="U633" s="78"/>
      <c r="V633" s="78"/>
    </row>
    <row r="634" ht="15.75" customHeight="1">
      <c r="P634" s="78"/>
      <c r="Q634" s="78"/>
      <c r="R634" s="78"/>
      <c r="S634" s="78"/>
      <c r="T634" s="78"/>
      <c r="U634" s="78"/>
      <c r="V634" s="78"/>
    </row>
    <row r="635" ht="15.75" customHeight="1">
      <c r="P635" s="78"/>
      <c r="Q635" s="78"/>
      <c r="R635" s="78"/>
      <c r="S635" s="78"/>
      <c r="T635" s="78"/>
      <c r="U635" s="78"/>
      <c r="V635" s="78"/>
    </row>
    <row r="636" ht="15.75" customHeight="1">
      <c r="P636" s="78"/>
      <c r="Q636" s="78"/>
      <c r="R636" s="78"/>
      <c r="S636" s="78"/>
      <c r="T636" s="78"/>
      <c r="U636" s="78"/>
      <c r="V636" s="78"/>
    </row>
    <row r="637" ht="15.75" customHeight="1">
      <c r="P637" s="78"/>
      <c r="Q637" s="78"/>
      <c r="R637" s="78"/>
      <c r="S637" s="78"/>
      <c r="T637" s="78"/>
      <c r="U637" s="78"/>
      <c r="V637" s="78"/>
    </row>
    <row r="638" ht="15.75" customHeight="1">
      <c r="P638" s="78"/>
      <c r="Q638" s="78"/>
      <c r="R638" s="78"/>
      <c r="S638" s="78"/>
      <c r="T638" s="78"/>
      <c r="U638" s="78"/>
      <c r="V638" s="78"/>
    </row>
    <row r="639" ht="15.75" customHeight="1">
      <c r="P639" s="78"/>
      <c r="Q639" s="78"/>
      <c r="R639" s="78"/>
      <c r="S639" s="78"/>
      <c r="T639" s="78"/>
      <c r="U639" s="78"/>
      <c r="V639" s="78"/>
    </row>
    <row r="640" ht="15.75" customHeight="1">
      <c r="P640" s="78"/>
      <c r="Q640" s="78"/>
      <c r="R640" s="78"/>
      <c r="S640" s="78"/>
      <c r="T640" s="78"/>
      <c r="U640" s="78"/>
      <c r="V640" s="78"/>
    </row>
    <row r="641" ht="15.75" customHeight="1">
      <c r="P641" s="78"/>
      <c r="Q641" s="78"/>
      <c r="R641" s="78"/>
      <c r="S641" s="78"/>
      <c r="T641" s="78"/>
      <c r="U641" s="78"/>
      <c r="V641" s="78"/>
    </row>
    <row r="642" ht="15.75" customHeight="1">
      <c r="P642" s="78"/>
      <c r="Q642" s="78"/>
      <c r="R642" s="78"/>
      <c r="S642" s="78"/>
      <c r="T642" s="78"/>
      <c r="U642" s="78"/>
      <c r="V642" s="78"/>
    </row>
    <row r="643" ht="15.75" customHeight="1">
      <c r="P643" s="78"/>
      <c r="Q643" s="78"/>
      <c r="R643" s="78"/>
      <c r="S643" s="78"/>
      <c r="T643" s="78"/>
      <c r="U643" s="78"/>
      <c r="V643" s="78"/>
    </row>
    <row r="644" ht="15.75" customHeight="1">
      <c r="P644" s="78"/>
      <c r="Q644" s="78"/>
      <c r="R644" s="78"/>
      <c r="S644" s="78"/>
      <c r="T644" s="78"/>
      <c r="U644" s="78"/>
      <c r="V644" s="78"/>
    </row>
    <row r="645" ht="15.75" customHeight="1">
      <c r="P645" s="78"/>
      <c r="Q645" s="78"/>
      <c r="R645" s="78"/>
      <c r="S645" s="78"/>
      <c r="T645" s="78"/>
      <c r="U645" s="78"/>
      <c r="V645" s="78"/>
    </row>
    <row r="646" ht="15.75" customHeight="1">
      <c r="P646" s="78"/>
      <c r="Q646" s="78"/>
      <c r="R646" s="78"/>
      <c r="S646" s="78"/>
      <c r="T646" s="78"/>
      <c r="U646" s="78"/>
      <c r="V646" s="78"/>
    </row>
    <row r="647" ht="15.75" customHeight="1">
      <c r="P647" s="78"/>
      <c r="Q647" s="78"/>
      <c r="R647" s="78"/>
      <c r="S647" s="78"/>
      <c r="T647" s="78"/>
      <c r="U647" s="78"/>
      <c r="V647" s="78"/>
    </row>
    <row r="648" ht="15.75" customHeight="1">
      <c r="P648" s="78"/>
      <c r="Q648" s="78"/>
      <c r="R648" s="78"/>
      <c r="S648" s="78"/>
      <c r="T648" s="78"/>
      <c r="U648" s="78"/>
      <c r="V648" s="78"/>
    </row>
    <row r="649" ht="15.75" customHeight="1">
      <c r="P649" s="78"/>
      <c r="Q649" s="78"/>
      <c r="R649" s="78"/>
      <c r="S649" s="78"/>
      <c r="T649" s="78"/>
      <c r="U649" s="78"/>
      <c r="V649" s="78"/>
    </row>
    <row r="650" ht="15.75" customHeight="1">
      <c r="P650" s="78"/>
      <c r="Q650" s="78"/>
      <c r="R650" s="78"/>
      <c r="S650" s="78"/>
      <c r="T650" s="78"/>
      <c r="U650" s="78"/>
      <c r="V650" s="78"/>
    </row>
    <row r="651" ht="15.75" customHeight="1">
      <c r="P651" s="78"/>
      <c r="Q651" s="78"/>
      <c r="R651" s="78"/>
      <c r="S651" s="78"/>
      <c r="T651" s="78"/>
      <c r="U651" s="78"/>
      <c r="V651" s="78"/>
    </row>
    <row r="652" ht="15.75" customHeight="1">
      <c r="P652" s="78"/>
      <c r="Q652" s="78"/>
      <c r="R652" s="78"/>
      <c r="S652" s="78"/>
      <c r="T652" s="78"/>
      <c r="U652" s="78"/>
      <c r="V652" s="78"/>
    </row>
    <row r="653" ht="15.75" customHeight="1">
      <c r="P653" s="78"/>
      <c r="Q653" s="78"/>
      <c r="R653" s="78"/>
      <c r="S653" s="78"/>
      <c r="T653" s="78"/>
      <c r="U653" s="78"/>
      <c r="V653" s="78"/>
    </row>
    <row r="654" ht="15.75" customHeight="1">
      <c r="P654" s="78"/>
      <c r="Q654" s="78"/>
      <c r="R654" s="78"/>
      <c r="S654" s="78"/>
      <c r="T654" s="78"/>
      <c r="U654" s="78"/>
      <c r="V654" s="78"/>
    </row>
    <row r="655" ht="15.75" customHeight="1">
      <c r="P655" s="78"/>
      <c r="Q655" s="78"/>
      <c r="R655" s="78"/>
      <c r="S655" s="78"/>
      <c r="T655" s="78"/>
      <c r="U655" s="78"/>
      <c r="V655" s="78"/>
    </row>
    <row r="656" ht="15.75" customHeight="1">
      <c r="P656" s="78"/>
      <c r="Q656" s="78"/>
      <c r="R656" s="78"/>
      <c r="S656" s="78"/>
      <c r="T656" s="78"/>
      <c r="U656" s="78"/>
      <c r="V656" s="78"/>
    </row>
    <row r="657" ht="15.75" customHeight="1">
      <c r="P657" s="78"/>
      <c r="Q657" s="78"/>
      <c r="R657" s="78"/>
      <c r="S657" s="78"/>
      <c r="T657" s="78"/>
      <c r="U657" s="78"/>
      <c r="V657" s="78"/>
    </row>
    <row r="658" ht="15.75" customHeight="1">
      <c r="P658" s="78"/>
      <c r="Q658" s="78"/>
      <c r="R658" s="78"/>
      <c r="S658" s="78"/>
      <c r="T658" s="78"/>
      <c r="U658" s="78"/>
      <c r="V658" s="78"/>
    </row>
    <row r="659" ht="15.75" customHeight="1">
      <c r="P659" s="78"/>
      <c r="Q659" s="78"/>
      <c r="R659" s="78"/>
      <c r="S659" s="78"/>
      <c r="T659" s="78"/>
      <c r="U659" s="78"/>
      <c r="V659" s="78"/>
    </row>
    <row r="660" ht="15.75" customHeight="1">
      <c r="P660" s="78"/>
      <c r="Q660" s="78"/>
      <c r="R660" s="78"/>
      <c r="S660" s="78"/>
      <c r="T660" s="78"/>
      <c r="U660" s="78"/>
      <c r="V660" s="78"/>
    </row>
    <row r="661" ht="15.75" customHeight="1">
      <c r="P661" s="78"/>
      <c r="Q661" s="78"/>
      <c r="R661" s="78"/>
      <c r="S661" s="78"/>
      <c r="T661" s="78"/>
      <c r="U661" s="78"/>
      <c r="V661" s="78"/>
    </row>
    <row r="662" ht="15.75" customHeight="1">
      <c r="P662" s="78"/>
      <c r="Q662" s="78"/>
      <c r="R662" s="78"/>
      <c r="S662" s="78"/>
      <c r="T662" s="78"/>
      <c r="U662" s="78"/>
      <c r="V662" s="78"/>
    </row>
    <row r="663" ht="15.75" customHeight="1">
      <c r="P663" s="78"/>
      <c r="Q663" s="78"/>
      <c r="R663" s="78"/>
      <c r="S663" s="78"/>
      <c r="T663" s="78"/>
      <c r="U663" s="78"/>
      <c r="V663" s="78"/>
    </row>
    <row r="664" ht="15.75" customHeight="1">
      <c r="P664" s="78"/>
      <c r="Q664" s="78"/>
      <c r="R664" s="78"/>
      <c r="S664" s="78"/>
      <c r="T664" s="78"/>
      <c r="U664" s="78"/>
      <c r="V664" s="78"/>
    </row>
    <row r="665" ht="15.75" customHeight="1">
      <c r="P665" s="78"/>
      <c r="Q665" s="78"/>
      <c r="R665" s="78"/>
      <c r="S665" s="78"/>
      <c r="T665" s="78"/>
      <c r="U665" s="78"/>
      <c r="V665" s="78"/>
    </row>
    <row r="666" ht="15.75" customHeight="1">
      <c r="P666" s="78"/>
      <c r="Q666" s="78"/>
      <c r="R666" s="78"/>
      <c r="S666" s="78"/>
      <c r="T666" s="78"/>
      <c r="U666" s="78"/>
      <c r="V666" s="78"/>
    </row>
    <row r="667" ht="15.75" customHeight="1">
      <c r="P667" s="78"/>
      <c r="Q667" s="78"/>
      <c r="R667" s="78"/>
      <c r="S667" s="78"/>
      <c r="T667" s="78"/>
      <c r="U667" s="78"/>
      <c r="V667" s="78"/>
    </row>
    <row r="668" ht="15.75" customHeight="1">
      <c r="P668" s="78"/>
      <c r="Q668" s="78"/>
      <c r="R668" s="78"/>
      <c r="S668" s="78"/>
      <c r="T668" s="78"/>
      <c r="U668" s="78"/>
      <c r="V668" s="78"/>
    </row>
    <row r="669" ht="15.75" customHeight="1">
      <c r="P669" s="78"/>
      <c r="Q669" s="78"/>
      <c r="R669" s="78"/>
      <c r="S669" s="78"/>
      <c r="T669" s="78"/>
      <c r="U669" s="78"/>
      <c r="V669" s="78"/>
    </row>
    <row r="670" ht="15.75" customHeight="1">
      <c r="P670" s="78"/>
      <c r="Q670" s="78"/>
      <c r="R670" s="78"/>
      <c r="S670" s="78"/>
      <c r="T670" s="78"/>
      <c r="U670" s="78"/>
      <c r="V670" s="78"/>
    </row>
    <row r="671" ht="15.75" customHeight="1">
      <c r="P671" s="78"/>
      <c r="Q671" s="78"/>
      <c r="R671" s="78"/>
      <c r="S671" s="78"/>
      <c r="T671" s="78"/>
      <c r="U671" s="78"/>
      <c r="V671" s="78"/>
    </row>
    <row r="672" ht="15.75" customHeight="1">
      <c r="P672" s="78"/>
      <c r="Q672" s="78"/>
      <c r="R672" s="78"/>
      <c r="S672" s="78"/>
      <c r="T672" s="78"/>
      <c r="U672" s="78"/>
      <c r="V672" s="78"/>
    </row>
    <row r="673" ht="15.75" customHeight="1">
      <c r="P673" s="78"/>
      <c r="Q673" s="78"/>
      <c r="R673" s="78"/>
      <c r="S673" s="78"/>
      <c r="T673" s="78"/>
      <c r="U673" s="78"/>
      <c r="V673" s="78"/>
    </row>
    <row r="674" ht="15.75" customHeight="1">
      <c r="P674" s="78"/>
      <c r="Q674" s="78"/>
      <c r="R674" s="78"/>
      <c r="S674" s="78"/>
      <c r="T674" s="78"/>
      <c r="U674" s="78"/>
      <c r="V674" s="78"/>
    </row>
    <row r="675" ht="15.75" customHeight="1">
      <c r="P675" s="78"/>
      <c r="Q675" s="78"/>
      <c r="R675" s="78"/>
      <c r="S675" s="78"/>
      <c r="T675" s="78"/>
      <c r="U675" s="78"/>
      <c r="V675" s="78"/>
    </row>
    <row r="676" ht="15.75" customHeight="1">
      <c r="P676" s="78"/>
      <c r="Q676" s="78"/>
      <c r="R676" s="78"/>
      <c r="S676" s="78"/>
      <c r="T676" s="78"/>
      <c r="U676" s="78"/>
      <c r="V676" s="78"/>
    </row>
    <row r="677" ht="15.75" customHeight="1">
      <c r="P677" s="78"/>
      <c r="Q677" s="78"/>
      <c r="R677" s="78"/>
      <c r="S677" s="78"/>
      <c r="T677" s="78"/>
      <c r="U677" s="78"/>
      <c r="V677" s="78"/>
    </row>
    <row r="678" ht="15.75" customHeight="1">
      <c r="P678" s="78"/>
      <c r="Q678" s="78"/>
      <c r="R678" s="78"/>
      <c r="S678" s="78"/>
      <c r="T678" s="78"/>
      <c r="U678" s="78"/>
      <c r="V678" s="78"/>
    </row>
    <row r="679" ht="15.75" customHeight="1">
      <c r="P679" s="78"/>
      <c r="Q679" s="78"/>
      <c r="R679" s="78"/>
      <c r="S679" s="78"/>
      <c r="T679" s="78"/>
      <c r="U679" s="78"/>
      <c r="V679" s="78"/>
    </row>
    <row r="680" ht="15.75" customHeight="1">
      <c r="P680" s="78"/>
      <c r="Q680" s="78"/>
      <c r="R680" s="78"/>
      <c r="S680" s="78"/>
      <c r="T680" s="78"/>
      <c r="U680" s="78"/>
      <c r="V680" s="78"/>
    </row>
    <row r="681" ht="15.75" customHeight="1">
      <c r="P681" s="78"/>
      <c r="Q681" s="78"/>
      <c r="R681" s="78"/>
      <c r="S681" s="78"/>
      <c r="T681" s="78"/>
      <c r="U681" s="78"/>
      <c r="V681" s="78"/>
    </row>
    <row r="682" ht="15.75" customHeight="1">
      <c r="P682" s="78"/>
      <c r="Q682" s="78"/>
      <c r="R682" s="78"/>
      <c r="S682" s="78"/>
      <c r="T682" s="78"/>
      <c r="U682" s="78"/>
      <c r="V682" s="78"/>
    </row>
    <row r="683" ht="15.75" customHeight="1">
      <c r="P683" s="78"/>
      <c r="Q683" s="78"/>
      <c r="R683" s="78"/>
      <c r="S683" s="78"/>
      <c r="T683" s="78"/>
      <c r="U683" s="78"/>
      <c r="V683" s="78"/>
    </row>
    <row r="684" ht="15.75" customHeight="1">
      <c r="P684" s="78"/>
      <c r="Q684" s="78"/>
      <c r="R684" s="78"/>
      <c r="S684" s="78"/>
      <c r="T684" s="78"/>
      <c r="U684" s="78"/>
      <c r="V684" s="78"/>
    </row>
    <row r="685" ht="15.75" customHeight="1">
      <c r="P685" s="78"/>
      <c r="Q685" s="78"/>
      <c r="R685" s="78"/>
      <c r="S685" s="78"/>
      <c r="T685" s="78"/>
      <c r="U685" s="78"/>
      <c r="V685" s="78"/>
    </row>
    <row r="686" ht="15.75" customHeight="1">
      <c r="P686" s="78"/>
      <c r="Q686" s="78"/>
      <c r="R686" s="78"/>
      <c r="S686" s="78"/>
      <c r="T686" s="78"/>
      <c r="U686" s="78"/>
      <c r="V686" s="78"/>
    </row>
    <row r="687" ht="15.75" customHeight="1">
      <c r="P687" s="78"/>
      <c r="Q687" s="78"/>
      <c r="R687" s="78"/>
      <c r="S687" s="78"/>
      <c r="T687" s="78"/>
      <c r="U687" s="78"/>
      <c r="V687" s="78"/>
    </row>
    <row r="688" ht="15.75" customHeight="1">
      <c r="P688" s="78"/>
      <c r="Q688" s="78"/>
      <c r="R688" s="78"/>
      <c r="S688" s="78"/>
      <c r="T688" s="78"/>
      <c r="U688" s="78"/>
      <c r="V688" s="78"/>
    </row>
    <row r="689" ht="15.75" customHeight="1">
      <c r="P689" s="78"/>
      <c r="Q689" s="78"/>
      <c r="R689" s="78"/>
      <c r="S689" s="78"/>
      <c r="T689" s="78"/>
      <c r="U689" s="78"/>
      <c r="V689" s="78"/>
    </row>
    <row r="690" ht="15.75" customHeight="1">
      <c r="P690" s="78"/>
      <c r="Q690" s="78"/>
      <c r="R690" s="78"/>
      <c r="S690" s="78"/>
      <c r="T690" s="78"/>
      <c r="U690" s="78"/>
      <c r="V690" s="78"/>
    </row>
    <row r="691" ht="15.75" customHeight="1">
      <c r="P691" s="78"/>
      <c r="Q691" s="78"/>
      <c r="R691" s="78"/>
      <c r="S691" s="78"/>
      <c r="T691" s="78"/>
      <c r="U691" s="78"/>
      <c r="V691" s="78"/>
    </row>
    <row r="692" ht="15.75" customHeight="1">
      <c r="P692" s="78"/>
      <c r="Q692" s="78"/>
      <c r="R692" s="78"/>
      <c r="S692" s="78"/>
      <c r="T692" s="78"/>
      <c r="U692" s="78"/>
      <c r="V692" s="78"/>
    </row>
    <row r="693" ht="15.75" customHeight="1">
      <c r="P693" s="78"/>
      <c r="Q693" s="78"/>
      <c r="R693" s="78"/>
      <c r="S693" s="78"/>
      <c r="T693" s="78"/>
      <c r="U693" s="78"/>
      <c r="V693" s="78"/>
    </row>
    <row r="694" ht="15.75" customHeight="1">
      <c r="P694" s="78"/>
      <c r="Q694" s="78"/>
      <c r="R694" s="78"/>
      <c r="S694" s="78"/>
      <c r="T694" s="78"/>
      <c r="U694" s="78"/>
      <c r="V694" s="78"/>
    </row>
    <row r="695" ht="15.75" customHeight="1">
      <c r="P695" s="78"/>
      <c r="Q695" s="78"/>
      <c r="R695" s="78"/>
      <c r="S695" s="78"/>
      <c r="T695" s="78"/>
      <c r="U695" s="78"/>
      <c r="V695" s="78"/>
    </row>
    <row r="696" ht="15.75" customHeight="1">
      <c r="P696" s="78"/>
      <c r="Q696" s="78"/>
      <c r="R696" s="78"/>
      <c r="S696" s="78"/>
      <c r="T696" s="78"/>
      <c r="U696" s="78"/>
      <c r="V696" s="78"/>
    </row>
    <row r="697" ht="15.75" customHeight="1">
      <c r="P697" s="78"/>
      <c r="Q697" s="78"/>
      <c r="R697" s="78"/>
      <c r="S697" s="78"/>
      <c r="T697" s="78"/>
      <c r="U697" s="78"/>
      <c r="V697" s="78"/>
    </row>
    <row r="698" ht="15.75" customHeight="1">
      <c r="P698" s="78"/>
      <c r="Q698" s="78"/>
      <c r="R698" s="78"/>
      <c r="S698" s="78"/>
      <c r="T698" s="78"/>
      <c r="U698" s="78"/>
      <c r="V698" s="78"/>
    </row>
    <row r="699" ht="15.75" customHeight="1">
      <c r="P699" s="78"/>
      <c r="Q699" s="78"/>
      <c r="R699" s="78"/>
      <c r="S699" s="78"/>
      <c r="T699" s="78"/>
      <c r="U699" s="78"/>
      <c r="V699" s="78"/>
    </row>
    <row r="700" ht="15.75" customHeight="1">
      <c r="P700" s="78"/>
      <c r="Q700" s="78"/>
      <c r="R700" s="78"/>
      <c r="S700" s="78"/>
      <c r="T700" s="78"/>
      <c r="U700" s="78"/>
      <c r="V700" s="78"/>
    </row>
    <row r="701" ht="15.75" customHeight="1">
      <c r="P701" s="78"/>
      <c r="Q701" s="78"/>
      <c r="R701" s="78"/>
      <c r="S701" s="78"/>
      <c r="T701" s="78"/>
      <c r="U701" s="78"/>
      <c r="V701" s="78"/>
    </row>
    <row r="702" ht="15.75" customHeight="1">
      <c r="P702" s="78"/>
      <c r="Q702" s="78"/>
      <c r="R702" s="78"/>
      <c r="S702" s="78"/>
      <c r="T702" s="78"/>
      <c r="U702" s="78"/>
      <c r="V702" s="78"/>
    </row>
    <row r="703" ht="15.75" customHeight="1">
      <c r="P703" s="78"/>
      <c r="Q703" s="78"/>
      <c r="R703" s="78"/>
      <c r="S703" s="78"/>
      <c r="T703" s="78"/>
      <c r="U703" s="78"/>
      <c r="V703" s="78"/>
    </row>
    <row r="704" ht="15.75" customHeight="1">
      <c r="P704" s="78"/>
      <c r="Q704" s="78"/>
      <c r="R704" s="78"/>
      <c r="S704" s="78"/>
      <c r="T704" s="78"/>
      <c r="U704" s="78"/>
      <c r="V704" s="78"/>
    </row>
    <row r="705" ht="15.75" customHeight="1">
      <c r="P705" s="78"/>
      <c r="Q705" s="78"/>
      <c r="R705" s="78"/>
      <c r="S705" s="78"/>
      <c r="T705" s="78"/>
      <c r="U705" s="78"/>
      <c r="V705" s="78"/>
    </row>
    <row r="706" ht="15.75" customHeight="1">
      <c r="P706" s="78"/>
      <c r="Q706" s="78"/>
      <c r="R706" s="78"/>
      <c r="S706" s="78"/>
      <c r="T706" s="78"/>
      <c r="U706" s="78"/>
      <c r="V706" s="78"/>
    </row>
    <row r="707" ht="15.75" customHeight="1">
      <c r="P707" s="78"/>
      <c r="Q707" s="78"/>
      <c r="R707" s="78"/>
      <c r="S707" s="78"/>
      <c r="T707" s="78"/>
      <c r="U707" s="78"/>
      <c r="V707" s="78"/>
    </row>
    <row r="708" ht="15.75" customHeight="1">
      <c r="P708" s="78"/>
      <c r="Q708" s="78"/>
      <c r="R708" s="78"/>
      <c r="S708" s="78"/>
      <c r="T708" s="78"/>
      <c r="U708" s="78"/>
      <c r="V708" s="78"/>
    </row>
    <row r="709" ht="15.75" customHeight="1">
      <c r="P709" s="78"/>
      <c r="Q709" s="78"/>
      <c r="R709" s="78"/>
      <c r="S709" s="78"/>
      <c r="T709" s="78"/>
      <c r="U709" s="78"/>
      <c r="V709" s="78"/>
    </row>
    <row r="710" ht="15.75" customHeight="1">
      <c r="P710" s="78"/>
      <c r="Q710" s="78"/>
      <c r="R710" s="78"/>
      <c r="S710" s="78"/>
      <c r="T710" s="78"/>
      <c r="U710" s="78"/>
      <c r="V710" s="78"/>
    </row>
    <row r="711" ht="15.75" customHeight="1">
      <c r="P711" s="78"/>
      <c r="Q711" s="78"/>
      <c r="R711" s="78"/>
      <c r="S711" s="78"/>
      <c r="T711" s="78"/>
      <c r="U711" s="78"/>
      <c r="V711" s="78"/>
    </row>
    <row r="712" ht="15.75" customHeight="1">
      <c r="P712" s="78"/>
      <c r="Q712" s="78"/>
      <c r="R712" s="78"/>
      <c r="S712" s="78"/>
      <c r="T712" s="78"/>
      <c r="U712" s="78"/>
      <c r="V712" s="78"/>
    </row>
    <row r="713" ht="15.75" customHeight="1">
      <c r="P713" s="78"/>
      <c r="Q713" s="78"/>
      <c r="R713" s="78"/>
      <c r="S713" s="78"/>
      <c r="T713" s="78"/>
      <c r="U713" s="78"/>
      <c r="V713" s="78"/>
    </row>
    <row r="714" ht="15.75" customHeight="1">
      <c r="P714" s="78"/>
      <c r="Q714" s="78"/>
      <c r="R714" s="78"/>
      <c r="S714" s="78"/>
      <c r="T714" s="78"/>
      <c r="U714" s="78"/>
      <c r="V714" s="78"/>
    </row>
    <row r="715" ht="15.75" customHeight="1">
      <c r="P715" s="78"/>
      <c r="Q715" s="78"/>
      <c r="R715" s="78"/>
      <c r="S715" s="78"/>
      <c r="T715" s="78"/>
      <c r="U715" s="78"/>
      <c r="V715" s="78"/>
    </row>
    <row r="716" ht="15.75" customHeight="1">
      <c r="P716" s="78"/>
      <c r="Q716" s="78"/>
      <c r="R716" s="78"/>
      <c r="S716" s="78"/>
      <c r="T716" s="78"/>
      <c r="U716" s="78"/>
      <c r="V716" s="78"/>
    </row>
    <row r="717" ht="15.75" customHeight="1">
      <c r="P717" s="78"/>
      <c r="Q717" s="78"/>
      <c r="R717" s="78"/>
      <c r="S717" s="78"/>
      <c r="T717" s="78"/>
      <c r="U717" s="78"/>
      <c r="V717" s="78"/>
    </row>
    <row r="718" ht="15.75" customHeight="1">
      <c r="P718" s="78"/>
      <c r="Q718" s="78"/>
      <c r="R718" s="78"/>
      <c r="S718" s="78"/>
      <c r="T718" s="78"/>
      <c r="U718" s="78"/>
      <c r="V718" s="78"/>
    </row>
    <row r="719" ht="15.75" customHeight="1">
      <c r="P719" s="78"/>
      <c r="Q719" s="78"/>
      <c r="R719" s="78"/>
      <c r="S719" s="78"/>
      <c r="T719" s="78"/>
      <c r="U719" s="78"/>
      <c r="V719" s="78"/>
    </row>
    <row r="720" ht="15.75" customHeight="1">
      <c r="P720" s="78"/>
      <c r="Q720" s="78"/>
      <c r="R720" s="78"/>
      <c r="S720" s="78"/>
      <c r="T720" s="78"/>
      <c r="U720" s="78"/>
      <c r="V720" s="78"/>
    </row>
    <row r="721" ht="15.75" customHeight="1">
      <c r="P721" s="78"/>
      <c r="Q721" s="78"/>
      <c r="R721" s="78"/>
      <c r="S721" s="78"/>
      <c r="T721" s="78"/>
      <c r="U721" s="78"/>
      <c r="V721" s="78"/>
    </row>
    <row r="722" ht="15.75" customHeight="1">
      <c r="P722" s="78"/>
      <c r="Q722" s="78"/>
      <c r="R722" s="78"/>
      <c r="S722" s="78"/>
      <c r="T722" s="78"/>
      <c r="U722" s="78"/>
      <c r="V722" s="78"/>
    </row>
    <row r="723" ht="15.75" customHeight="1">
      <c r="P723" s="78"/>
      <c r="Q723" s="78"/>
      <c r="R723" s="78"/>
      <c r="S723" s="78"/>
      <c r="T723" s="78"/>
      <c r="U723" s="78"/>
      <c r="V723" s="78"/>
    </row>
    <row r="724" ht="15.75" customHeight="1">
      <c r="P724" s="78"/>
      <c r="Q724" s="78"/>
      <c r="R724" s="78"/>
      <c r="S724" s="78"/>
      <c r="T724" s="78"/>
      <c r="U724" s="78"/>
      <c r="V724" s="78"/>
    </row>
    <row r="725" ht="15.75" customHeight="1">
      <c r="P725" s="78"/>
      <c r="Q725" s="78"/>
      <c r="R725" s="78"/>
      <c r="S725" s="78"/>
      <c r="T725" s="78"/>
      <c r="U725" s="78"/>
      <c r="V725" s="78"/>
    </row>
    <row r="726" ht="15.75" customHeight="1">
      <c r="P726" s="78"/>
      <c r="Q726" s="78"/>
      <c r="R726" s="78"/>
      <c r="S726" s="78"/>
      <c r="T726" s="78"/>
      <c r="U726" s="78"/>
      <c r="V726" s="78"/>
    </row>
    <row r="727" ht="15.75" customHeight="1">
      <c r="P727" s="78"/>
      <c r="Q727" s="78"/>
      <c r="R727" s="78"/>
      <c r="S727" s="78"/>
      <c r="T727" s="78"/>
      <c r="U727" s="78"/>
      <c r="V727" s="78"/>
    </row>
    <row r="728" ht="15.75" customHeight="1">
      <c r="P728" s="78"/>
      <c r="Q728" s="78"/>
      <c r="R728" s="78"/>
      <c r="S728" s="78"/>
      <c r="T728" s="78"/>
      <c r="U728" s="78"/>
      <c r="V728" s="78"/>
    </row>
    <row r="729" ht="15.75" customHeight="1">
      <c r="P729" s="78"/>
      <c r="Q729" s="78"/>
      <c r="R729" s="78"/>
      <c r="S729" s="78"/>
      <c r="T729" s="78"/>
      <c r="U729" s="78"/>
      <c r="V729" s="78"/>
    </row>
    <row r="730" ht="15.75" customHeight="1">
      <c r="P730" s="78"/>
      <c r="Q730" s="78"/>
      <c r="R730" s="78"/>
      <c r="S730" s="78"/>
      <c r="T730" s="78"/>
      <c r="U730" s="78"/>
      <c r="V730" s="78"/>
    </row>
    <row r="731" ht="15.75" customHeight="1">
      <c r="P731" s="78"/>
      <c r="Q731" s="78"/>
      <c r="R731" s="78"/>
      <c r="S731" s="78"/>
      <c r="T731" s="78"/>
      <c r="U731" s="78"/>
      <c r="V731" s="78"/>
    </row>
    <row r="732" ht="15.75" customHeight="1">
      <c r="P732" s="78"/>
      <c r="Q732" s="78"/>
      <c r="R732" s="78"/>
      <c r="S732" s="78"/>
      <c r="T732" s="78"/>
      <c r="U732" s="78"/>
      <c r="V732" s="78"/>
    </row>
    <row r="733" ht="15.75" customHeight="1">
      <c r="P733" s="78"/>
      <c r="Q733" s="78"/>
      <c r="R733" s="78"/>
      <c r="S733" s="78"/>
      <c r="T733" s="78"/>
      <c r="U733" s="78"/>
      <c r="V733" s="78"/>
    </row>
    <row r="734" ht="15.75" customHeight="1">
      <c r="P734" s="78"/>
      <c r="Q734" s="78"/>
      <c r="R734" s="78"/>
      <c r="S734" s="78"/>
      <c r="T734" s="78"/>
      <c r="U734" s="78"/>
      <c r="V734" s="78"/>
    </row>
    <row r="735" ht="15.75" customHeight="1">
      <c r="P735" s="78"/>
      <c r="Q735" s="78"/>
      <c r="R735" s="78"/>
      <c r="S735" s="78"/>
      <c r="T735" s="78"/>
      <c r="U735" s="78"/>
      <c r="V735" s="78"/>
    </row>
    <row r="736" ht="15.75" customHeight="1">
      <c r="P736" s="78"/>
      <c r="Q736" s="78"/>
      <c r="R736" s="78"/>
      <c r="S736" s="78"/>
      <c r="T736" s="78"/>
      <c r="U736" s="78"/>
      <c r="V736" s="78"/>
    </row>
    <row r="737" ht="15.75" customHeight="1">
      <c r="P737" s="78"/>
      <c r="Q737" s="78"/>
      <c r="R737" s="78"/>
      <c r="S737" s="78"/>
      <c r="T737" s="78"/>
      <c r="U737" s="78"/>
      <c r="V737" s="78"/>
    </row>
    <row r="738" ht="15.75" customHeight="1">
      <c r="P738" s="78"/>
      <c r="Q738" s="78"/>
      <c r="R738" s="78"/>
      <c r="S738" s="78"/>
      <c r="T738" s="78"/>
      <c r="U738" s="78"/>
      <c r="V738" s="78"/>
    </row>
    <row r="739" ht="15.75" customHeight="1">
      <c r="P739" s="78"/>
      <c r="Q739" s="78"/>
      <c r="R739" s="78"/>
      <c r="S739" s="78"/>
      <c r="T739" s="78"/>
      <c r="U739" s="78"/>
      <c r="V739" s="78"/>
    </row>
    <row r="740" ht="15.75" customHeight="1">
      <c r="P740" s="78"/>
      <c r="Q740" s="78"/>
      <c r="R740" s="78"/>
      <c r="S740" s="78"/>
      <c r="T740" s="78"/>
      <c r="U740" s="78"/>
      <c r="V740" s="78"/>
    </row>
    <row r="741" ht="15.75" customHeight="1">
      <c r="P741" s="78"/>
      <c r="Q741" s="78"/>
      <c r="R741" s="78"/>
      <c r="S741" s="78"/>
      <c r="T741" s="78"/>
      <c r="U741" s="78"/>
      <c r="V741" s="78"/>
    </row>
    <row r="742" ht="15.75" customHeight="1">
      <c r="P742" s="78"/>
      <c r="Q742" s="78"/>
      <c r="R742" s="78"/>
      <c r="S742" s="78"/>
      <c r="T742" s="78"/>
      <c r="U742" s="78"/>
      <c r="V742" s="78"/>
    </row>
    <row r="743" ht="15.75" customHeight="1">
      <c r="P743" s="78"/>
      <c r="Q743" s="78"/>
      <c r="R743" s="78"/>
      <c r="S743" s="78"/>
      <c r="T743" s="78"/>
      <c r="U743" s="78"/>
      <c r="V743" s="78"/>
    </row>
    <row r="744" ht="15.75" customHeight="1">
      <c r="P744" s="78"/>
      <c r="Q744" s="78"/>
      <c r="R744" s="78"/>
      <c r="S744" s="78"/>
      <c r="T744" s="78"/>
      <c r="U744" s="78"/>
      <c r="V744" s="78"/>
    </row>
    <row r="745" ht="15.75" customHeight="1">
      <c r="P745" s="78"/>
      <c r="Q745" s="78"/>
      <c r="R745" s="78"/>
      <c r="S745" s="78"/>
      <c r="T745" s="78"/>
      <c r="U745" s="78"/>
      <c r="V745" s="78"/>
    </row>
    <row r="746" ht="15.75" customHeight="1">
      <c r="P746" s="78"/>
      <c r="Q746" s="78"/>
      <c r="R746" s="78"/>
      <c r="S746" s="78"/>
      <c r="T746" s="78"/>
      <c r="U746" s="78"/>
      <c r="V746" s="78"/>
    </row>
    <row r="747" ht="15.75" customHeight="1">
      <c r="P747" s="78"/>
      <c r="Q747" s="78"/>
      <c r="R747" s="78"/>
      <c r="S747" s="78"/>
      <c r="T747" s="78"/>
      <c r="U747" s="78"/>
      <c r="V747" s="78"/>
    </row>
    <row r="748" ht="15.75" customHeight="1">
      <c r="P748" s="78"/>
      <c r="Q748" s="78"/>
      <c r="R748" s="78"/>
      <c r="S748" s="78"/>
      <c r="T748" s="78"/>
      <c r="U748" s="78"/>
      <c r="V748" s="78"/>
    </row>
    <row r="749" ht="15.75" customHeight="1">
      <c r="P749" s="78"/>
      <c r="Q749" s="78"/>
      <c r="R749" s="78"/>
      <c r="S749" s="78"/>
      <c r="T749" s="78"/>
      <c r="U749" s="78"/>
      <c r="V749" s="78"/>
    </row>
    <row r="750" ht="15.75" customHeight="1">
      <c r="P750" s="78"/>
      <c r="Q750" s="78"/>
      <c r="R750" s="78"/>
      <c r="S750" s="78"/>
      <c r="T750" s="78"/>
      <c r="U750" s="78"/>
      <c r="V750" s="78"/>
    </row>
    <row r="751" ht="15.75" customHeight="1">
      <c r="P751" s="78"/>
      <c r="Q751" s="78"/>
      <c r="R751" s="78"/>
      <c r="S751" s="78"/>
      <c r="T751" s="78"/>
      <c r="U751" s="78"/>
      <c r="V751" s="78"/>
    </row>
    <row r="752" ht="15.75" customHeight="1">
      <c r="P752" s="78"/>
      <c r="Q752" s="78"/>
      <c r="R752" s="78"/>
      <c r="S752" s="78"/>
      <c r="T752" s="78"/>
      <c r="U752" s="78"/>
      <c r="V752" s="78"/>
    </row>
    <row r="753" ht="15.75" customHeight="1">
      <c r="P753" s="78"/>
      <c r="Q753" s="78"/>
      <c r="R753" s="78"/>
      <c r="S753" s="78"/>
      <c r="T753" s="78"/>
      <c r="U753" s="78"/>
      <c r="V753" s="78"/>
    </row>
    <row r="754" ht="15.75" customHeight="1">
      <c r="P754" s="78"/>
      <c r="Q754" s="78"/>
      <c r="R754" s="78"/>
      <c r="S754" s="78"/>
      <c r="T754" s="78"/>
      <c r="U754" s="78"/>
      <c r="V754" s="78"/>
    </row>
    <row r="755" ht="15.75" customHeight="1">
      <c r="P755" s="78"/>
      <c r="Q755" s="78"/>
      <c r="R755" s="78"/>
      <c r="S755" s="78"/>
      <c r="T755" s="78"/>
      <c r="U755" s="78"/>
      <c r="V755" s="78"/>
    </row>
    <row r="756" ht="15.75" customHeight="1">
      <c r="P756" s="78"/>
      <c r="Q756" s="78"/>
      <c r="R756" s="78"/>
      <c r="S756" s="78"/>
      <c r="T756" s="78"/>
      <c r="U756" s="78"/>
      <c r="V756" s="78"/>
    </row>
    <row r="757" ht="15.75" customHeight="1">
      <c r="P757" s="78"/>
      <c r="Q757" s="78"/>
      <c r="R757" s="78"/>
      <c r="S757" s="78"/>
      <c r="T757" s="78"/>
      <c r="U757" s="78"/>
      <c r="V757" s="78"/>
    </row>
    <row r="758" ht="15.75" customHeight="1">
      <c r="P758" s="78"/>
      <c r="Q758" s="78"/>
      <c r="R758" s="78"/>
      <c r="S758" s="78"/>
      <c r="T758" s="78"/>
      <c r="U758" s="78"/>
      <c r="V758" s="78"/>
    </row>
    <row r="759" ht="15.75" customHeight="1">
      <c r="P759" s="78"/>
      <c r="Q759" s="78"/>
      <c r="R759" s="78"/>
      <c r="S759" s="78"/>
      <c r="T759" s="78"/>
      <c r="U759" s="78"/>
      <c r="V759" s="78"/>
    </row>
    <row r="760" ht="15.75" customHeight="1">
      <c r="P760" s="78"/>
      <c r="Q760" s="78"/>
      <c r="R760" s="78"/>
      <c r="S760" s="78"/>
      <c r="T760" s="78"/>
      <c r="U760" s="78"/>
      <c r="V760" s="78"/>
    </row>
    <row r="761" ht="15.75" customHeight="1">
      <c r="P761" s="78"/>
      <c r="Q761" s="78"/>
      <c r="R761" s="78"/>
      <c r="S761" s="78"/>
      <c r="T761" s="78"/>
      <c r="U761" s="78"/>
      <c r="V761" s="78"/>
    </row>
    <row r="762" ht="15.75" customHeight="1">
      <c r="P762" s="78"/>
      <c r="Q762" s="78"/>
      <c r="R762" s="78"/>
      <c r="S762" s="78"/>
      <c r="T762" s="78"/>
      <c r="U762" s="78"/>
      <c r="V762" s="78"/>
    </row>
    <row r="763" ht="15.75" customHeight="1">
      <c r="P763" s="78"/>
      <c r="Q763" s="78"/>
      <c r="R763" s="78"/>
      <c r="S763" s="78"/>
      <c r="T763" s="78"/>
      <c r="U763" s="78"/>
      <c r="V763" s="78"/>
    </row>
    <row r="764" ht="15.75" customHeight="1">
      <c r="P764" s="78"/>
      <c r="Q764" s="78"/>
      <c r="R764" s="78"/>
      <c r="S764" s="78"/>
      <c r="T764" s="78"/>
      <c r="U764" s="78"/>
      <c r="V764" s="78"/>
    </row>
    <row r="765" ht="15.75" customHeight="1">
      <c r="P765" s="78"/>
      <c r="Q765" s="78"/>
      <c r="R765" s="78"/>
      <c r="S765" s="78"/>
      <c r="T765" s="78"/>
      <c r="U765" s="78"/>
      <c r="V765" s="78"/>
    </row>
    <row r="766" ht="15.75" customHeight="1">
      <c r="P766" s="78"/>
      <c r="Q766" s="78"/>
      <c r="R766" s="78"/>
      <c r="S766" s="78"/>
      <c r="T766" s="78"/>
      <c r="U766" s="78"/>
      <c r="V766" s="78"/>
    </row>
    <row r="767" ht="15.75" customHeight="1">
      <c r="P767" s="78"/>
      <c r="Q767" s="78"/>
      <c r="R767" s="78"/>
      <c r="S767" s="78"/>
      <c r="T767" s="78"/>
      <c r="U767" s="78"/>
      <c r="V767" s="78"/>
    </row>
    <row r="768" ht="15.75" customHeight="1">
      <c r="P768" s="78"/>
      <c r="Q768" s="78"/>
      <c r="R768" s="78"/>
      <c r="S768" s="78"/>
      <c r="T768" s="78"/>
      <c r="U768" s="78"/>
      <c r="V768" s="78"/>
    </row>
    <row r="769" ht="15.75" customHeight="1">
      <c r="P769" s="78"/>
      <c r="Q769" s="78"/>
      <c r="R769" s="78"/>
      <c r="S769" s="78"/>
      <c r="T769" s="78"/>
      <c r="U769" s="78"/>
      <c r="V769" s="78"/>
    </row>
    <row r="770" ht="15.75" customHeight="1">
      <c r="P770" s="78"/>
      <c r="Q770" s="78"/>
      <c r="R770" s="78"/>
      <c r="S770" s="78"/>
      <c r="T770" s="78"/>
      <c r="U770" s="78"/>
      <c r="V770" s="78"/>
    </row>
    <row r="771" ht="15.75" customHeight="1">
      <c r="P771" s="78"/>
      <c r="Q771" s="78"/>
      <c r="R771" s="78"/>
      <c r="S771" s="78"/>
      <c r="T771" s="78"/>
      <c r="U771" s="78"/>
      <c r="V771" s="78"/>
    </row>
    <row r="772" ht="15.75" customHeight="1">
      <c r="P772" s="78"/>
      <c r="Q772" s="78"/>
      <c r="R772" s="78"/>
      <c r="S772" s="78"/>
      <c r="T772" s="78"/>
      <c r="U772" s="78"/>
      <c r="V772" s="78"/>
    </row>
    <row r="773" ht="15.75" customHeight="1">
      <c r="P773" s="78"/>
      <c r="Q773" s="78"/>
      <c r="R773" s="78"/>
      <c r="S773" s="78"/>
      <c r="T773" s="78"/>
      <c r="U773" s="78"/>
      <c r="V773" s="78"/>
    </row>
    <row r="774" ht="15.75" customHeight="1">
      <c r="P774" s="78"/>
      <c r="Q774" s="78"/>
      <c r="R774" s="78"/>
      <c r="S774" s="78"/>
      <c r="T774" s="78"/>
      <c r="U774" s="78"/>
      <c r="V774" s="78"/>
    </row>
    <row r="775" ht="15.75" customHeight="1">
      <c r="P775" s="78"/>
      <c r="Q775" s="78"/>
      <c r="R775" s="78"/>
      <c r="S775" s="78"/>
      <c r="T775" s="78"/>
      <c r="U775" s="78"/>
      <c r="V775" s="78"/>
    </row>
    <row r="776" ht="15.75" customHeight="1">
      <c r="P776" s="78"/>
      <c r="Q776" s="78"/>
      <c r="R776" s="78"/>
      <c r="S776" s="78"/>
      <c r="T776" s="78"/>
      <c r="U776" s="78"/>
      <c r="V776" s="78"/>
    </row>
    <row r="777" ht="15.75" customHeight="1">
      <c r="P777" s="78"/>
      <c r="Q777" s="78"/>
      <c r="R777" s="78"/>
      <c r="S777" s="78"/>
      <c r="T777" s="78"/>
      <c r="U777" s="78"/>
      <c r="V777" s="78"/>
    </row>
    <row r="778" ht="15.75" customHeight="1">
      <c r="P778" s="78"/>
      <c r="Q778" s="78"/>
      <c r="R778" s="78"/>
      <c r="S778" s="78"/>
      <c r="T778" s="78"/>
      <c r="U778" s="78"/>
      <c r="V778" s="78"/>
    </row>
    <row r="779" ht="15.75" customHeight="1">
      <c r="P779" s="78"/>
      <c r="Q779" s="78"/>
      <c r="R779" s="78"/>
      <c r="S779" s="78"/>
      <c r="T779" s="78"/>
      <c r="U779" s="78"/>
      <c r="V779" s="78"/>
    </row>
    <row r="780" ht="15.75" customHeight="1">
      <c r="P780" s="78"/>
      <c r="Q780" s="78"/>
      <c r="R780" s="78"/>
      <c r="S780" s="78"/>
      <c r="T780" s="78"/>
      <c r="U780" s="78"/>
      <c r="V780" s="78"/>
    </row>
    <row r="781" ht="15.75" customHeight="1">
      <c r="P781" s="78"/>
      <c r="Q781" s="78"/>
      <c r="R781" s="78"/>
      <c r="S781" s="78"/>
      <c r="T781" s="78"/>
      <c r="U781" s="78"/>
      <c r="V781" s="78"/>
    </row>
    <row r="782" ht="15.75" customHeight="1">
      <c r="P782" s="78"/>
      <c r="Q782" s="78"/>
      <c r="R782" s="78"/>
      <c r="S782" s="78"/>
      <c r="T782" s="78"/>
      <c r="U782" s="78"/>
      <c r="V782" s="78"/>
    </row>
    <row r="783" ht="15.75" customHeight="1">
      <c r="P783" s="78"/>
      <c r="Q783" s="78"/>
      <c r="R783" s="78"/>
      <c r="S783" s="78"/>
      <c r="T783" s="78"/>
      <c r="U783" s="78"/>
      <c r="V783" s="78"/>
    </row>
    <row r="784" ht="15.75" customHeight="1">
      <c r="P784" s="78"/>
      <c r="Q784" s="78"/>
      <c r="R784" s="78"/>
      <c r="S784" s="78"/>
      <c r="T784" s="78"/>
      <c r="U784" s="78"/>
      <c r="V784" s="78"/>
    </row>
    <row r="785" ht="15.75" customHeight="1">
      <c r="P785" s="78"/>
      <c r="Q785" s="78"/>
      <c r="R785" s="78"/>
      <c r="S785" s="78"/>
      <c r="T785" s="78"/>
      <c r="U785" s="78"/>
      <c r="V785" s="78"/>
    </row>
    <row r="786" ht="15.75" customHeight="1">
      <c r="P786" s="78"/>
      <c r="Q786" s="78"/>
      <c r="R786" s="78"/>
      <c r="S786" s="78"/>
      <c r="T786" s="78"/>
      <c r="U786" s="78"/>
      <c r="V786" s="78"/>
    </row>
    <row r="787" ht="15.75" customHeight="1">
      <c r="P787" s="78"/>
      <c r="Q787" s="78"/>
      <c r="R787" s="78"/>
      <c r="S787" s="78"/>
      <c r="T787" s="78"/>
      <c r="U787" s="78"/>
      <c r="V787" s="78"/>
    </row>
    <row r="788" ht="15.75" customHeight="1">
      <c r="P788" s="78"/>
      <c r="Q788" s="78"/>
      <c r="R788" s="78"/>
      <c r="S788" s="78"/>
      <c r="T788" s="78"/>
      <c r="U788" s="78"/>
      <c r="V788" s="78"/>
    </row>
    <row r="789" ht="15.75" customHeight="1">
      <c r="P789" s="78"/>
      <c r="Q789" s="78"/>
      <c r="R789" s="78"/>
      <c r="S789" s="78"/>
      <c r="T789" s="78"/>
      <c r="U789" s="78"/>
      <c r="V789" s="78"/>
    </row>
    <row r="790" ht="15.75" customHeight="1">
      <c r="P790" s="78"/>
      <c r="Q790" s="78"/>
      <c r="R790" s="78"/>
      <c r="S790" s="78"/>
      <c r="T790" s="78"/>
      <c r="U790" s="78"/>
      <c r="V790" s="78"/>
    </row>
    <row r="791" ht="15.75" customHeight="1">
      <c r="P791" s="78"/>
      <c r="Q791" s="78"/>
      <c r="R791" s="78"/>
      <c r="S791" s="78"/>
      <c r="T791" s="78"/>
      <c r="U791" s="78"/>
      <c r="V791" s="78"/>
    </row>
    <row r="792" ht="15.75" customHeight="1">
      <c r="P792" s="78"/>
      <c r="Q792" s="78"/>
      <c r="R792" s="78"/>
      <c r="S792" s="78"/>
      <c r="T792" s="78"/>
      <c r="U792" s="78"/>
      <c r="V792" s="78"/>
    </row>
    <row r="793" ht="15.75" customHeight="1">
      <c r="P793" s="78"/>
      <c r="Q793" s="78"/>
      <c r="R793" s="78"/>
      <c r="S793" s="78"/>
      <c r="T793" s="78"/>
      <c r="U793" s="78"/>
      <c r="V793" s="78"/>
    </row>
    <row r="794" ht="15.75" customHeight="1">
      <c r="P794" s="78"/>
      <c r="Q794" s="78"/>
      <c r="R794" s="78"/>
      <c r="S794" s="78"/>
      <c r="T794" s="78"/>
      <c r="U794" s="78"/>
      <c r="V794" s="78"/>
    </row>
    <row r="795" ht="15.75" customHeight="1">
      <c r="P795" s="78"/>
      <c r="Q795" s="78"/>
      <c r="R795" s="78"/>
      <c r="S795" s="78"/>
      <c r="T795" s="78"/>
      <c r="U795" s="78"/>
      <c r="V795" s="78"/>
    </row>
    <row r="796" ht="15.75" customHeight="1">
      <c r="P796" s="78"/>
      <c r="Q796" s="78"/>
      <c r="R796" s="78"/>
      <c r="S796" s="78"/>
      <c r="T796" s="78"/>
      <c r="U796" s="78"/>
      <c r="V796" s="78"/>
    </row>
    <row r="797" ht="15.75" customHeight="1">
      <c r="P797" s="78"/>
      <c r="Q797" s="78"/>
      <c r="R797" s="78"/>
      <c r="S797" s="78"/>
      <c r="T797" s="78"/>
      <c r="U797" s="78"/>
      <c r="V797" s="78"/>
    </row>
    <row r="798" ht="15.75" customHeight="1">
      <c r="P798" s="78"/>
      <c r="Q798" s="78"/>
      <c r="R798" s="78"/>
      <c r="S798" s="78"/>
      <c r="T798" s="78"/>
      <c r="U798" s="78"/>
      <c r="V798" s="78"/>
    </row>
    <row r="799" ht="15.75" customHeight="1">
      <c r="P799" s="78"/>
      <c r="Q799" s="78"/>
      <c r="R799" s="78"/>
      <c r="S799" s="78"/>
      <c r="T799" s="78"/>
      <c r="U799" s="78"/>
      <c r="V799" s="78"/>
    </row>
    <row r="800" ht="15.75" customHeight="1">
      <c r="P800" s="78"/>
      <c r="Q800" s="78"/>
      <c r="R800" s="78"/>
      <c r="S800" s="78"/>
      <c r="T800" s="78"/>
      <c r="U800" s="78"/>
      <c r="V800" s="78"/>
    </row>
    <row r="801" ht="15.75" customHeight="1">
      <c r="P801" s="78"/>
      <c r="Q801" s="78"/>
      <c r="R801" s="78"/>
      <c r="S801" s="78"/>
      <c r="T801" s="78"/>
      <c r="U801" s="78"/>
      <c r="V801" s="78"/>
    </row>
    <row r="802" ht="15.75" customHeight="1">
      <c r="P802" s="78"/>
      <c r="Q802" s="78"/>
      <c r="R802" s="78"/>
      <c r="S802" s="78"/>
      <c r="T802" s="78"/>
      <c r="U802" s="78"/>
      <c r="V802" s="78"/>
    </row>
    <row r="803" ht="15.75" customHeight="1">
      <c r="P803" s="78"/>
      <c r="Q803" s="78"/>
      <c r="R803" s="78"/>
      <c r="S803" s="78"/>
      <c r="T803" s="78"/>
      <c r="U803" s="78"/>
      <c r="V803" s="78"/>
    </row>
    <row r="804" ht="15.75" customHeight="1">
      <c r="P804" s="78"/>
      <c r="Q804" s="78"/>
      <c r="R804" s="78"/>
      <c r="S804" s="78"/>
      <c r="T804" s="78"/>
      <c r="U804" s="78"/>
      <c r="V804" s="78"/>
    </row>
    <row r="805" ht="15.75" customHeight="1">
      <c r="P805" s="78"/>
      <c r="Q805" s="78"/>
      <c r="R805" s="78"/>
      <c r="S805" s="78"/>
      <c r="T805" s="78"/>
      <c r="U805" s="78"/>
      <c r="V805" s="78"/>
    </row>
    <row r="806" ht="15.75" customHeight="1">
      <c r="P806" s="78"/>
      <c r="Q806" s="78"/>
      <c r="R806" s="78"/>
      <c r="S806" s="78"/>
      <c r="T806" s="78"/>
      <c r="U806" s="78"/>
      <c r="V806" s="78"/>
    </row>
    <row r="807" ht="15.75" customHeight="1">
      <c r="P807" s="78"/>
      <c r="Q807" s="78"/>
      <c r="R807" s="78"/>
      <c r="S807" s="78"/>
      <c r="T807" s="78"/>
      <c r="U807" s="78"/>
      <c r="V807" s="78"/>
    </row>
    <row r="808" ht="15.75" customHeight="1">
      <c r="P808" s="78"/>
      <c r="Q808" s="78"/>
      <c r="R808" s="78"/>
      <c r="S808" s="78"/>
      <c r="T808" s="78"/>
      <c r="U808" s="78"/>
      <c r="V808" s="78"/>
    </row>
    <row r="809" ht="15.75" customHeight="1">
      <c r="P809" s="78"/>
      <c r="Q809" s="78"/>
      <c r="R809" s="78"/>
      <c r="S809" s="78"/>
      <c r="T809" s="78"/>
      <c r="U809" s="78"/>
      <c r="V809" s="78"/>
    </row>
    <row r="810" ht="15.75" customHeight="1">
      <c r="P810" s="78"/>
      <c r="Q810" s="78"/>
      <c r="R810" s="78"/>
      <c r="S810" s="78"/>
      <c r="T810" s="78"/>
      <c r="U810" s="78"/>
      <c r="V810" s="78"/>
    </row>
    <row r="811" ht="15.75" customHeight="1">
      <c r="P811" s="78"/>
      <c r="Q811" s="78"/>
      <c r="R811" s="78"/>
      <c r="S811" s="78"/>
      <c r="T811" s="78"/>
      <c r="U811" s="78"/>
      <c r="V811" s="78"/>
    </row>
    <row r="812" ht="15.75" customHeight="1">
      <c r="P812" s="78"/>
      <c r="Q812" s="78"/>
      <c r="R812" s="78"/>
      <c r="S812" s="78"/>
      <c r="T812" s="78"/>
      <c r="U812" s="78"/>
      <c r="V812" s="78"/>
    </row>
    <row r="813" ht="15.75" customHeight="1">
      <c r="P813" s="78"/>
      <c r="Q813" s="78"/>
      <c r="R813" s="78"/>
      <c r="S813" s="78"/>
      <c r="T813" s="78"/>
      <c r="U813" s="78"/>
      <c r="V813" s="78"/>
    </row>
    <row r="814" ht="15.75" customHeight="1">
      <c r="P814" s="78"/>
      <c r="Q814" s="78"/>
      <c r="R814" s="78"/>
      <c r="S814" s="78"/>
      <c r="T814" s="78"/>
      <c r="U814" s="78"/>
      <c r="V814" s="78"/>
    </row>
    <row r="815" ht="15.75" customHeight="1">
      <c r="P815" s="78"/>
      <c r="Q815" s="78"/>
      <c r="R815" s="78"/>
      <c r="S815" s="78"/>
      <c r="T815" s="78"/>
      <c r="U815" s="78"/>
      <c r="V815" s="78"/>
    </row>
    <row r="816" ht="15.75" customHeight="1">
      <c r="P816" s="78"/>
      <c r="Q816" s="78"/>
      <c r="R816" s="78"/>
      <c r="S816" s="78"/>
      <c r="T816" s="78"/>
      <c r="U816" s="78"/>
      <c r="V816" s="78"/>
    </row>
    <row r="817" ht="15.75" customHeight="1">
      <c r="P817" s="78"/>
      <c r="Q817" s="78"/>
      <c r="R817" s="78"/>
      <c r="S817" s="78"/>
      <c r="T817" s="78"/>
      <c r="U817" s="78"/>
      <c r="V817" s="78"/>
    </row>
    <row r="818" ht="15.75" customHeight="1">
      <c r="P818" s="78"/>
      <c r="Q818" s="78"/>
      <c r="R818" s="78"/>
      <c r="S818" s="78"/>
      <c r="T818" s="78"/>
      <c r="U818" s="78"/>
      <c r="V818" s="78"/>
    </row>
    <row r="819" ht="15.75" customHeight="1">
      <c r="P819" s="78"/>
      <c r="Q819" s="78"/>
      <c r="R819" s="78"/>
      <c r="S819" s="78"/>
      <c r="T819" s="78"/>
      <c r="U819" s="78"/>
      <c r="V819" s="78"/>
    </row>
    <row r="820" ht="15.75" customHeight="1">
      <c r="P820" s="78"/>
      <c r="Q820" s="78"/>
      <c r="R820" s="78"/>
      <c r="S820" s="78"/>
      <c r="T820" s="78"/>
      <c r="U820" s="78"/>
      <c r="V820" s="78"/>
    </row>
    <row r="821" ht="15.75" customHeight="1">
      <c r="P821" s="78"/>
      <c r="Q821" s="78"/>
      <c r="R821" s="78"/>
      <c r="S821" s="78"/>
      <c r="T821" s="78"/>
      <c r="U821" s="78"/>
      <c r="V821" s="78"/>
    </row>
    <row r="822" ht="15.75" customHeight="1">
      <c r="P822" s="78"/>
      <c r="Q822" s="78"/>
      <c r="R822" s="78"/>
      <c r="S822" s="78"/>
      <c r="T822" s="78"/>
      <c r="U822" s="78"/>
      <c r="V822" s="78"/>
    </row>
    <row r="823" ht="15.75" customHeight="1">
      <c r="P823" s="78"/>
      <c r="Q823" s="78"/>
      <c r="R823" s="78"/>
      <c r="S823" s="78"/>
      <c r="T823" s="78"/>
      <c r="U823" s="78"/>
      <c r="V823" s="78"/>
    </row>
    <row r="824" ht="15.75" customHeight="1">
      <c r="P824" s="78"/>
      <c r="Q824" s="78"/>
      <c r="R824" s="78"/>
      <c r="S824" s="78"/>
      <c r="T824" s="78"/>
      <c r="U824" s="78"/>
      <c r="V824" s="78"/>
    </row>
    <row r="825" ht="15.75" customHeight="1">
      <c r="P825" s="78"/>
      <c r="Q825" s="78"/>
      <c r="R825" s="78"/>
      <c r="S825" s="78"/>
      <c r="T825" s="78"/>
      <c r="U825" s="78"/>
      <c r="V825" s="78"/>
    </row>
    <row r="826" ht="15.75" customHeight="1">
      <c r="P826" s="78"/>
      <c r="Q826" s="78"/>
      <c r="R826" s="78"/>
      <c r="S826" s="78"/>
      <c r="T826" s="78"/>
      <c r="U826" s="78"/>
      <c r="V826" s="78"/>
    </row>
    <row r="827" ht="15.75" customHeight="1">
      <c r="P827" s="78"/>
      <c r="Q827" s="78"/>
      <c r="R827" s="78"/>
      <c r="S827" s="78"/>
      <c r="T827" s="78"/>
      <c r="U827" s="78"/>
      <c r="V827" s="78"/>
    </row>
    <row r="828" ht="15.75" customHeight="1">
      <c r="P828" s="78"/>
      <c r="Q828" s="78"/>
      <c r="R828" s="78"/>
      <c r="S828" s="78"/>
      <c r="T828" s="78"/>
      <c r="U828" s="78"/>
      <c r="V828" s="78"/>
    </row>
    <row r="829" ht="15.75" customHeight="1">
      <c r="P829" s="78"/>
      <c r="Q829" s="78"/>
      <c r="R829" s="78"/>
      <c r="S829" s="78"/>
      <c r="T829" s="78"/>
      <c r="U829" s="78"/>
      <c r="V829" s="78"/>
    </row>
    <row r="830" ht="15.75" customHeight="1">
      <c r="P830" s="78"/>
      <c r="Q830" s="78"/>
      <c r="R830" s="78"/>
      <c r="S830" s="78"/>
      <c r="T830" s="78"/>
      <c r="U830" s="78"/>
      <c r="V830" s="78"/>
    </row>
    <row r="831" ht="15.75" customHeight="1">
      <c r="P831" s="78"/>
      <c r="Q831" s="78"/>
      <c r="R831" s="78"/>
      <c r="S831" s="78"/>
      <c r="T831" s="78"/>
      <c r="U831" s="78"/>
      <c r="V831" s="78"/>
    </row>
    <row r="832" ht="15.75" customHeight="1">
      <c r="P832" s="78"/>
      <c r="Q832" s="78"/>
      <c r="R832" s="78"/>
      <c r="S832" s="78"/>
      <c r="T832" s="78"/>
      <c r="U832" s="78"/>
      <c r="V832" s="78"/>
    </row>
    <row r="833" ht="15.75" customHeight="1">
      <c r="P833" s="78"/>
      <c r="Q833" s="78"/>
      <c r="R833" s="78"/>
      <c r="S833" s="78"/>
      <c r="T833" s="78"/>
      <c r="U833" s="78"/>
      <c r="V833" s="78"/>
    </row>
    <row r="834" ht="15.75" customHeight="1">
      <c r="P834" s="78"/>
      <c r="Q834" s="78"/>
      <c r="R834" s="78"/>
      <c r="S834" s="78"/>
      <c r="T834" s="78"/>
      <c r="U834" s="78"/>
      <c r="V834" s="78"/>
    </row>
    <row r="835" ht="15.75" customHeight="1">
      <c r="P835" s="78"/>
      <c r="Q835" s="78"/>
      <c r="R835" s="78"/>
      <c r="S835" s="78"/>
      <c r="T835" s="78"/>
      <c r="U835" s="78"/>
      <c r="V835" s="78"/>
    </row>
    <row r="836" ht="15.75" customHeight="1">
      <c r="P836" s="78"/>
      <c r="Q836" s="78"/>
      <c r="R836" s="78"/>
      <c r="S836" s="78"/>
      <c r="T836" s="78"/>
      <c r="U836" s="78"/>
      <c r="V836" s="78"/>
    </row>
    <row r="837" ht="15.75" customHeight="1">
      <c r="P837" s="78"/>
      <c r="Q837" s="78"/>
      <c r="R837" s="78"/>
      <c r="S837" s="78"/>
      <c r="T837" s="78"/>
      <c r="U837" s="78"/>
      <c r="V837" s="78"/>
    </row>
    <row r="838" ht="15.75" customHeight="1">
      <c r="P838" s="78"/>
      <c r="Q838" s="78"/>
      <c r="R838" s="78"/>
      <c r="S838" s="78"/>
      <c r="T838" s="78"/>
      <c r="U838" s="78"/>
      <c r="V838" s="78"/>
    </row>
    <row r="839" ht="15.75" customHeight="1">
      <c r="P839" s="78"/>
      <c r="Q839" s="78"/>
      <c r="R839" s="78"/>
      <c r="S839" s="78"/>
      <c r="T839" s="78"/>
      <c r="U839" s="78"/>
      <c r="V839" s="78"/>
    </row>
    <row r="840" ht="15.75" customHeight="1">
      <c r="P840" s="78"/>
      <c r="Q840" s="78"/>
      <c r="R840" s="78"/>
      <c r="S840" s="78"/>
      <c r="T840" s="78"/>
      <c r="U840" s="78"/>
      <c r="V840" s="78"/>
    </row>
    <row r="841" ht="15.75" customHeight="1">
      <c r="P841" s="78"/>
      <c r="Q841" s="78"/>
      <c r="R841" s="78"/>
      <c r="S841" s="78"/>
      <c r="T841" s="78"/>
      <c r="U841" s="78"/>
      <c r="V841" s="78"/>
    </row>
    <row r="842" ht="15.75" customHeight="1">
      <c r="P842" s="78"/>
      <c r="Q842" s="78"/>
      <c r="R842" s="78"/>
      <c r="S842" s="78"/>
      <c r="T842" s="78"/>
      <c r="U842" s="78"/>
      <c r="V842" s="78"/>
    </row>
    <row r="843" ht="15.75" customHeight="1">
      <c r="P843" s="78"/>
      <c r="Q843" s="78"/>
      <c r="R843" s="78"/>
      <c r="S843" s="78"/>
      <c r="T843" s="78"/>
      <c r="U843" s="78"/>
      <c r="V843" s="78"/>
    </row>
    <row r="844" ht="15.75" customHeight="1">
      <c r="P844" s="78"/>
      <c r="Q844" s="78"/>
      <c r="R844" s="78"/>
      <c r="S844" s="78"/>
      <c r="T844" s="78"/>
      <c r="U844" s="78"/>
      <c r="V844" s="78"/>
    </row>
    <row r="845" ht="15.75" customHeight="1">
      <c r="P845" s="78"/>
      <c r="Q845" s="78"/>
      <c r="R845" s="78"/>
      <c r="S845" s="78"/>
      <c r="T845" s="78"/>
      <c r="U845" s="78"/>
      <c r="V845" s="78"/>
    </row>
    <row r="846" ht="15.75" customHeight="1">
      <c r="P846" s="78"/>
      <c r="Q846" s="78"/>
      <c r="R846" s="78"/>
      <c r="S846" s="78"/>
      <c r="T846" s="78"/>
      <c r="U846" s="78"/>
      <c r="V846" s="78"/>
    </row>
    <row r="847" ht="15.75" customHeight="1">
      <c r="P847" s="78"/>
      <c r="Q847" s="78"/>
      <c r="R847" s="78"/>
      <c r="S847" s="78"/>
      <c r="T847" s="78"/>
      <c r="U847" s="78"/>
      <c r="V847" s="78"/>
    </row>
    <row r="848" ht="15.75" customHeight="1">
      <c r="P848" s="78"/>
      <c r="Q848" s="78"/>
      <c r="R848" s="78"/>
      <c r="S848" s="78"/>
      <c r="T848" s="78"/>
      <c r="U848" s="78"/>
      <c r="V848" s="78"/>
    </row>
    <row r="849" ht="15.75" customHeight="1">
      <c r="P849" s="78"/>
      <c r="Q849" s="78"/>
      <c r="R849" s="78"/>
      <c r="S849" s="78"/>
      <c r="T849" s="78"/>
      <c r="U849" s="78"/>
      <c r="V849" s="78"/>
    </row>
    <row r="850" ht="15.75" customHeight="1">
      <c r="P850" s="78"/>
      <c r="Q850" s="78"/>
      <c r="R850" s="78"/>
      <c r="S850" s="78"/>
      <c r="T850" s="78"/>
      <c r="U850" s="78"/>
      <c r="V850" s="78"/>
    </row>
    <row r="851" ht="15.75" customHeight="1">
      <c r="P851" s="78"/>
      <c r="Q851" s="78"/>
      <c r="R851" s="78"/>
      <c r="S851" s="78"/>
      <c r="T851" s="78"/>
      <c r="U851" s="78"/>
      <c r="V851" s="78"/>
    </row>
    <row r="852" ht="15.75" customHeight="1">
      <c r="P852" s="78"/>
      <c r="Q852" s="78"/>
      <c r="R852" s="78"/>
      <c r="S852" s="78"/>
      <c r="T852" s="78"/>
      <c r="U852" s="78"/>
      <c r="V852" s="78"/>
    </row>
    <row r="853" ht="15.75" customHeight="1">
      <c r="P853" s="78"/>
      <c r="Q853" s="78"/>
      <c r="R853" s="78"/>
      <c r="S853" s="78"/>
      <c r="T853" s="78"/>
      <c r="U853" s="78"/>
      <c r="V853" s="78"/>
    </row>
    <row r="854" ht="15.75" customHeight="1">
      <c r="P854" s="78"/>
      <c r="Q854" s="78"/>
      <c r="R854" s="78"/>
      <c r="S854" s="78"/>
      <c r="T854" s="78"/>
      <c r="U854" s="78"/>
      <c r="V854" s="78"/>
    </row>
    <row r="855" ht="15.75" customHeight="1">
      <c r="P855" s="78"/>
      <c r="Q855" s="78"/>
      <c r="R855" s="78"/>
      <c r="S855" s="78"/>
      <c r="T855" s="78"/>
      <c r="U855" s="78"/>
      <c r="V855" s="78"/>
    </row>
    <row r="856" ht="15.75" customHeight="1">
      <c r="P856" s="78"/>
      <c r="Q856" s="78"/>
      <c r="R856" s="78"/>
      <c r="S856" s="78"/>
      <c r="T856" s="78"/>
      <c r="U856" s="78"/>
      <c r="V856" s="78"/>
    </row>
    <row r="857" ht="15.75" customHeight="1">
      <c r="P857" s="78"/>
      <c r="Q857" s="78"/>
      <c r="R857" s="78"/>
      <c r="S857" s="78"/>
      <c r="T857" s="78"/>
      <c r="U857" s="78"/>
      <c r="V857" s="78"/>
    </row>
    <row r="858" ht="15.75" customHeight="1">
      <c r="P858" s="78"/>
      <c r="Q858" s="78"/>
      <c r="R858" s="78"/>
      <c r="S858" s="78"/>
      <c r="T858" s="78"/>
      <c r="U858" s="78"/>
      <c r="V858" s="78"/>
    </row>
    <row r="859" ht="15.75" customHeight="1">
      <c r="P859" s="78"/>
      <c r="Q859" s="78"/>
      <c r="R859" s="78"/>
      <c r="S859" s="78"/>
      <c r="T859" s="78"/>
      <c r="U859" s="78"/>
      <c r="V859" s="78"/>
    </row>
    <row r="860" ht="15.75" customHeight="1">
      <c r="P860" s="78"/>
      <c r="Q860" s="78"/>
      <c r="R860" s="78"/>
      <c r="S860" s="78"/>
      <c r="T860" s="78"/>
      <c r="U860" s="78"/>
      <c r="V860" s="78"/>
    </row>
    <row r="861" ht="15.75" customHeight="1">
      <c r="P861" s="78"/>
      <c r="Q861" s="78"/>
      <c r="R861" s="78"/>
      <c r="S861" s="78"/>
      <c r="T861" s="78"/>
      <c r="U861" s="78"/>
      <c r="V861" s="78"/>
    </row>
    <row r="862" ht="15.75" customHeight="1">
      <c r="P862" s="78"/>
      <c r="Q862" s="78"/>
      <c r="R862" s="78"/>
      <c r="S862" s="78"/>
      <c r="T862" s="78"/>
      <c r="U862" s="78"/>
      <c r="V862" s="78"/>
    </row>
    <row r="863" ht="15.75" customHeight="1">
      <c r="P863" s="78"/>
      <c r="Q863" s="78"/>
      <c r="R863" s="78"/>
      <c r="S863" s="78"/>
      <c r="T863" s="78"/>
      <c r="U863" s="78"/>
      <c r="V863" s="78"/>
    </row>
    <row r="864" ht="15.75" customHeight="1">
      <c r="P864" s="78"/>
      <c r="Q864" s="78"/>
      <c r="R864" s="78"/>
      <c r="S864" s="78"/>
      <c r="T864" s="78"/>
      <c r="U864" s="78"/>
      <c r="V864" s="78"/>
    </row>
    <row r="865" ht="15.75" customHeight="1">
      <c r="P865" s="78"/>
      <c r="Q865" s="78"/>
      <c r="R865" s="78"/>
      <c r="S865" s="78"/>
      <c r="T865" s="78"/>
      <c r="U865" s="78"/>
      <c r="V865" s="78"/>
    </row>
    <row r="866" ht="15.75" customHeight="1">
      <c r="P866" s="78"/>
      <c r="Q866" s="78"/>
      <c r="R866" s="78"/>
      <c r="S866" s="78"/>
      <c r="T866" s="78"/>
      <c r="U866" s="78"/>
      <c r="V866" s="78"/>
    </row>
    <row r="867" ht="15.75" customHeight="1">
      <c r="P867" s="78"/>
      <c r="Q867" s="78"/>
      <c r="R867" s="78"/>
      <c r="S867" s="78"/>
      <c r="T867" s="78"/>
      <c r="U867" s="78"/>
      <c r="V867" s="78"/>
    </row>
    <row r="868" ht="15.75" customHeight="1">
      <c r="P868" s="78"/>
      <c r="Q868" s="78"/>
      <c r="R868" s="78"/>
      <c r="S868" s="78"/>
      <c r="T868" s="78"/>
      <c r="U868" s="78"/>
      <c r="V868" s="78"/>
    </row>
    <row r="869" ht="15.75" customHeight="1">
      <c r="P869" s="78"/>
      <c r="Q869" s="78"/>
      <c r="R869" s="78"/>
      <c r="S869" s="78"/>
      <c r="T869" s="78"/>
      <c r="U869" s="78"/>
      <c r="V869" s="78"/>
    </row>
    <row r="870" ht="15.75" customHeight="1">
      <c r="P870" s="78"/>
      <c r="Q870" s="78"/>
      <c r="R870" s="78"/>
      <c r="S870" s="78"/>
      <c r="T870" s="78"/>
      <c r="U870" s="78"/>
      <c r="V870" s="78"/>
    </row>
    <row r="871" ht="15.75" customHeight="1">
      <c r="P871" s="78"/>
      <c r="Q871" s="78"/>
      <c r="R871" s="78"/>
      <c r="S871" s="78"/>
      <c r="T871" s="78"/>
      <c r="U871" s="78"/>
      <c r="V871" s="78"/>
    </row>
    <row r="872" ht="15.75" customHeight="1">
      <c r="P872" s="78"/>
      <c r="Q872" s="78"/>
      <c r="R872" s="78"/>
      <c r="S872" s="78"/>
      <c r="T872" s="78"/>
      <c r="U872" s="78"/>
      <c r="V872" s="78"/>
    </row>
    <row r="873" ht="15.75" customHeight="1">
      <c r="P873" s="78"/>
      <c r="Q873" s="78"/>
      <c r="R873" s="78"/>
      <c r="S873" s="78"/>
      <c r="T873" s="78"/>
      <c r="U873" s="78"/>
      <c r="V873" s="78"/>
    </row>
    <row r="874" ht="15.75" customHeight="1">
      <c r="P874" s="78"/>
      <c r="Q874" s="78"/>
      <c r="R874" s="78"/>
      <c r="S874" s="78"/>
      <c r="T874" s="78"/>
      <c r="U874" s="78"/>
      <c r="V874" s="78"/>
    </row>
    <row r="875" ht="15.75" customHeight="1">
      <c r="P875" s="78"/>
      <c r="Q875" s="78"/>
      <c r="R875" s="78"/>
      <c r="S875" s="78"/>
      <c r="T875" s="78"/>
      <c r="U875" s="78"/>
      <c r="V875" s="78"/>
    </row>
    <row r="876" ht="15.75" customHeight="1">
      <c r="P876" s="78"/>
      <c r="Q876" s="78"/>
      <c r="R876" s="78"/>
      <c r="S876" s="78"/>
      <c r="T876" s="78"/>
      <c r="U876" s="78"/>
      <c r="V876" s="78"/>
    </row>
    <row r="877" ht="15.75" customHeight="1">
      <c r="P877" s="78"/>
      <c r="Q877" s="78"/>
      <c r="R877" s="78"/>
      <c r="S877" s="78"/>
      <c r="T877" s="78"/>
      <c r="U877" s="78"/>
      <c r="V877" s="78"/>
    </row>
    <row r="878" ht="15.75" customHeight="1">
      <c r="P878" s="78"/>
      <c r="Q878" s="78"/>
      <c r="R878" s="78"/>
      <c r="S878" s="78"/>
      <c r="T878" s="78"/>
      <c r="U878" s="78"/>
      <c r="V878" s="78"/>
    </row>
    <row r="879" ht="15.75" customHeight="1">
      <c r="P879" s="78"/>
      <c r="Q879" s="78"/>
      <c r="R879" s="78"/>
      <c r="S879" s="78"/>
      <c r="T879" s="78"/>
      <c r="U879" s="78"/>
      <c r="V879" s="78"/>
    </row>
    <row r="880" ht="15.75" customHeight="1">
      <c r="P880" s="78"/>
      <c r="Q880" s="78"/>
      <c r="R880" s="78"/>
      <c r="S880" s="78"/>
      <c r="T880" s="78"/>
      <c r="U880" s="78"/>
      <c r="V880" s="78"/>
    </row>
    <row r="881" ht="15.75" customHeight="1">
      <c r="P881" s="78"/>
      <c r="Q881" s="78"/>
      <c r="R881" s="78"/>
      <c r="S881" s="78"/>
      <c r="T881" s="78"/>
      <c r="U881" s="78"/>
      <c r="V881" s="78"/>
    </row>
    <row r="882" ht="15.75" customHeight="1">
      <c r="P882" s="78"/>
      <c r="Q882" s="78"/>
      <c r="R882" s="78"/>
      <c r="S882" s="78"/>
      <c r="T882" s="78"/>
      <c r="U882" s="78"/>
      <c r="V882" s="78"/>
    </row>
    <row r="883" ht="15.75" customHeight="1">
      <c r="P883" s="78"/>
      <c r="Q883" s="78"/>
      <c r="R883" s="78"/>
      <c r="S883" s="78"/>
      <c r="T883" s="78"/>
      <c r="U883" s="78"/>
      <c r="V883" s="78"/>
    </row>
    <row r="884" ht="15.75" customHeight="1">
      <c r="P884" s="78"/>
      <c r="Q884" s="78"/>
      <c r="R884" s="78"/>
      <c r="S884" s="78"/>
      <c r="T884" s="78"/>
      <c r="U884" s="78"/>
      <c r="V884" s="78"/>
    </row>
    <row r="885" ht="15.75" customHeight="1">
      <c r="P885" s="78"/>
      <c r="Q885" s="78"/>
      <c r="R885" s="78"/>
      <c r="S885" s="78"/>
      <c r="T885" s="78"/>
      <c r="U885" s="78"/>
      <c r="V885" s="78"/>
    </row>
    <row r="886" ht="15.75" customHeight="1">
      <c r="P886" s="78"/>
      <c r="Q886" s="78"/>
      <c r="R886" s="78"/>
      <c r="S886" s="78"/>
      <c r="T886" s="78"/>
      <c r="U886" s="78"/>
      <c r="V886" s="78"/>
    </row>
    <row r="887" ht="15.75" customHeight="1">
      <c r="P887" s="78"/>
      <c r="Q887" s="78"/>
      <c r="R887" s="78"/>
      <c r="S887" s="78"/>
      <c r="T887" s="78"/>
      <c r="U887" s="78"/>
      <c r="V887" s="78"/>
    </row>
    <row r="888" ht="15.75" customHeight="1">
      <c r="P888" s="78"/>
      <c r="Q888" s="78"/>
      <c r="R888" s="78"/>
      <c r="S888" s="78"/>
      <c r="T888" s="78"/>
      <c r="U888" s="78"/>
      <c r="V888" s="78"/>
    </row>
    <row r="889" ht="15.75" customHeight="1">
      <c r="P889" s="78"/>
      <c r="Q889" s="78"/>
      <c r="R889" s="78"/>
      <c r="S889" s="78"/>
      <c r="T889" s="78"/>
      <c r="U889" s="78"/>
      <c r="V889" s="78"/>
    </row>
    <row r="890" ht="15.75" customHeight="1">
      <c r="P890" s="78"/>
      <c r="Q890" s="78"/>
      <c r="R890" s="78"/>
      <c r="S890" s="78"/>
      <c r="T890" s="78"/>
      <c r="U890" s="78"/>
      <c r="V890" s="78"/>
    </row>
    <row r="891" ht="15.75" customHeight="1">
      <c r="P891" s="78"/>
      <c r="Q891" s="78"/>
      <c r="R891" s="78"/>
      <c r="S891" s="78"/>
      <c r="T891" s="78"/>
      <c r="U891" s="78"/>
      <c r="V891" s="78"/>
    </row>
    <row r="892" ht="15.75" customHeight="1">
      <c r="P892" s="78"/>
      <c r="Q892" s="78"/>
      <c r="R892" s="78"/>
      <c r="S892" s="78"/>
      <c r="T892" s="78"/>
      <c r="U892" s="78"/>
      <c r="V892" s="78"/>
    </row>
    <row r="893" ht="15.75" customHeight="1">
      <c r="P893" s="78"/>
      <c r="Q893" s="78"/>
      <c r="R893" s="78"/>
      <c r="S893" s="78"/>
      <c r="T893" s="78"/>
      <c r="U893" s="78"/>
      <c r="V893" s="78"/>
    </row>
    <row r="894" ht="15.75" customHeight="1">
      <c r="P894" s="78"/>
      <c r="Q894" s="78"/>
      <c r="R894" s="78"/>
      <c r="S894" s="78"/>
      <c r="T894" s="78"/>
      <c r="U894" s="78"/>
      <c r="V894" s="78"/>
    </row>
    <row r="895" ht="15.75" customHeight="1">
      <c r="P895" s="78"/>
      <c r="Q895" s="78"/>
      <c r="R895" s="78"/>
      <c r="S895" s="78"/>
      <c r="T895" s="78"/>
      <c r="U895" s="78"/>
      <c r="V895" s="78"/>
    </row>
    <row r="896" ht="15.75" customHeight="1">
      <c r="P896" s="78"/>
      <c r="Q896" s="78"/>
      <c r="R896" s="78"/>
      <c r="S896" s="78"/>
      <c r="T896" s="78"/>
      <c r="U896" s="78"/>
      <c r="V896" s="78"/>
    </row>
    <row r="897" ht="15.75" customHeight="1">
      <c r="P897" s="78"/>
      <c r="Q897" s="78"/>
      <c r="R897" s="78"/>
      <c r="S897" s="78"/>
      <c r="T897" s="78"/>
      <c r="U897" s="78"/>
      <c r="V897" s="78"/>
    </row>
    <row r="898" ht="15.75" customHeight="1">
      <c r="P898" s="78"/>
      <c r="Q898" s="78"/>
      <c r="R898" s="78"/>
      <c r="S898" s="78"/>
      <c r="T898" s="78"/>
      <c r="U898" s="78"/>
      <c r="V898" s="78"/>
    </row>
    <row r="899" ht="15.75" customHeight="1">
      <c r="P899" s="78"/>
      <c r="Q899" s="78"/>
      <c r="R899" s="78"/>
      <c r="S899" s="78"/>
      <c r="T899" s="78"/>
      <c r="U899" s="78"/>
      <c r="V899" s="78"/>
    </row>
    <row r="900" ht="15.75" customHeight="1">
      <c r="P900" s="78"/>
      <c r="Q900" s="78"/>
      <c r="R900" s="78"/>
      <c r="S900" s="78"/>
      <c r="T900" s="78"/>
      <c r="U900" s="78"/>
      <c r="V900" s="78"/>
    </row>
    <row r="901" ht="15.75" customHeight="1">
      <c r="P901" s="78"/>
      <c r="Q901" s="78"/>
      <c r="R901" s="78"/>
      <c r="S901" s="78"/>
      <c r="T901" s="78"/>
      <c r="U901" s="78"/>
      <c r="V901" s="78"/>
    </row>
    <row r="902" ht="15.75" customHeight="1">
      <c r="P902" s="78"/>
      <c r="Q902" s="78"/>
      <c r="R902" s="78"/>
      <c r="S902" s="78"/>
      <c r="T902" s="78"/>
      <c r="U902" s="78"/>
      <c r="V902" s="78"/>
    </row>
    <row r="903" ht="15.75" customHeight="1">
      <c r="P903" s="78"/>
      <c r="Q903" s="78"/>
      <c r="R903" s="78"/>
      <c r="S903" s="78"/>
      <c r="T903" s="78"/>
      <c r="U903" s="78"/>
      <c r="V903" s="78"/>
    </row>
    <row r="904" ht="15.75" customHeight="1">
      <c r="P904" s="78"/>
      <c r="Q904" s="78"/>
      <c r="R904" s="78"/>
      <c r="S904" s="78"/>
      <c r="T904" s="78"/>
      <c r="U904" s="78"/>
      <c r="V904" s="78"/>
    </row>
    <row r="905" ht="15.75" customHeight="1">
      <c r="P905" s="78"/>
      <c r="Q905" s="78"/>
      <c r="R905" s="78"/>
      <c r="S905" s="78"/>
      <c r="T905" s="78"/>
      <c r="U905" s="78"/>
      <c r="V905" s="78"/>
    </row>
    <row r="906" ht="15.75" customHeight="1">
      <c r="P906" s="78"/>
      <c r="Q906" s="78"/>
      <c r="R906" s="78"/>
      <c r="S906" s="78"/>
      <c r="T906" s="78"/>
      <c r="U906" s="78"/>
      <c r="V906" s="78"/>
    </row>
    <row r="907" ht="15.75" customHeight="1">
      <c r="P907" s="78"/>
      <c r="Q907" s="78"/>
      <c r="R907" s="78"/>
      <c r="S907" s="78"/>
      <c r="T907" s="78"/>
      <c r="U907" s="78"/>
      <c r="V907" s="78"/>
    </row>
    <row r="908" ht="15.75" customHeight="1">
      <c r="P908" s="78"/>
      <c r="Q908" s="78"/>
      <c r="R908" s="78"/>
      <c r="S908" s="78"/>
      <c r="T908" s="78"/>
      <c r="U908" s="78"/>
      <c r="V908" s="78"/>
    </row>
    <row r="909" ht="15.75" customHeight="1">
      <c r="P909" s="78"/>
      <c r="Q909" s="78"/>
      <c r="R909" s="78"/>
      <c r="S909" s="78"/>
      <c r="T909" s="78"/>
      <c r="U909" s="78"/>
      <c r="V909" s="78"/>
    </row>
    <row r="910" ht="15.75" customHeight="1">
      <c r="P910" s="78"/>
      <c r="Q910" s="78"/>
      <c r="R910" s="78"/>
      <c r="S910" s="78"/>
      <c r="T910" s="78"/>
      <c r="U910" s="78"/>
      <c r="V910" s="78"/>
    </row>
    <row r="911" ht="15.75" customHeight="1">
      <c r="P911" s="78"/>
      <c r="Q911" s="78"/>
      <c r="R911" s="78"/>
      <c r="S911" s="78"/>
      <c r="T911" s="78"/>
      <c r="U911" s="78"/>
      <c r="V911" s="78"/>
    </row>
    <row r="912" ht="15.75" customHeight="1">
      <c r="P912" s="78"/>
      <c r="Q912" s="78"/>
      <c r="R912" s="78"/>
      <c r="S912" s="78"/>
      <c r="T912" s="78"/>
      <c r="U912" s="78"/>
      <c r="V912" s="78"/>
    </row>
    <row r="913" ht="15.75" customHeight="1">
      <c r="P913" s="78"/>
      <c r="Q913" s="78"/>
      <c r="R913" s="78"/>
      <c r="S913" s="78"/>
      <c r="T913" s="78"/>
      <c r="U913" s="78"/>
      <c r="V913" s="78"/>
    </row>
    <row r="914" ht="15.75" customHeight="1">
      <c r="P914" s="78"/>
      <c r="Q914" s="78"/>
      <c r="R914" s="78"/>
      <c r="S914" s="78"/>
      <c r="T914" s="78"/>
      <c r="U914" s="78"/>
      <c r="V914" s="78"/>
    </row>
    <row r="915" ht="15.75" customHeight="1">
      <c r="P915" s="78"/>
      <c r="Q915" s="78"/>
      <c r="R915" s="78"/>
      <c r="S915" s="78"/>
      <c r="T915" s="78"/>
      <c r="U915" s="78"/>
      <c r="V915" s="78"/>
    </row>
    <row r="916" ht="15.75" customHeight="1">
      <c r="P916" s="78"/>
      <c r="Q916" s="78"/>
      <c r="R916" s="78"/>
      <c r="S916" s="78"/>
      <c r="T916" s="78"/>
      <c r="U916" s="78"/>
      <c r="V916" s="78"/>
    </row>
    <row r="917" ht="15.75" customHeight="1">
      <c r="P917" s="78"/>
      <c r="Q917" s="78"/>
      <c r="R917" s="78"/>
      <c r="S917" s="78"/>
      <c r="T917" s="78"/>
      <c r="U917" s="78"/>
      <c r="V917" s="78"/>
    </row>
    <row r="918" ht="15.75" customHeight="1">
      <c r="P918" s="78"/>
      <c r="Q918" s="78"/>
      <c r="R918" s="78"/>
      <c r="S918" s="78"/>
      <c r="T918" s="78"/>
      <c r="U918" s="78"/>
      <c r="V918" s="78"/>
    </row>
    <row r="919" ht="15.75" customHeight="1">
      <c r="P919" s="78"/>
      <c r="Q919" s="78"/>
      <c r="R919" s="78"/>
      <c r="S919" s="78"/>
      <c r="T919" s="78"/>
      <c r="U919" s="78"/>
      <c r="V919" s="78"/>
    </row>
    <row r="920" ht="15.75" customHeight="1">
      <c r="P920" s="78"/>
      <c r="Q920" s="78"/>
      <c r="R920" s="78"/>
      <c r="S920" s="78"/>
      <c r="T920" s="78"/>
      <c r="U920" s="78"/>
      <c r="V920" s="78"/>
    </row>
    <row r="921" ht="15.75" customHeight="1">
      <c r="P921" s="78"/>
      <c r="Q921" s="78"/>
      <c r="R921" s="78"/>
      <c r="S921" s="78"/>
      <c r="T921" s="78"/>
      <c r="U921" s="78"/>
      <c r="V921" s="78"/>
    </row>
    <row r="922" ht="15.75" customHeight="1">
      <c r="P922" s="78"/>
      <c r="Q922" s="78"/>
      <c r="R922" s="78"/>
      <c r="S922" s="78"/>
      <c r="T922" s="78"/>
      <c r="U922" s="78"/>
      <c r="V922" s="78"/>
    </row>
    <row r="923" ht="15.75" customHeight="1">
      <c r="P923" s="78"/>
      <c r="Q923" s="78"/>
      <c r="R923" s="78"/>
      <c r="S923" s="78"/>
      <c r="T923" s="78"/>
      <c r="U923" s="78"/>
      <c r="V923" s="78"/>
    </row>
    <row r="924" ht="15.75" customHeight="1">
      <c r="P924" s="78"/>
      <c r="Q924" s="78"/>
      <c r="R924" s="78"/>
      <c r="S924" s="78"/>
      <c r="T924" s="78"/>
      <c r="U924" s="78"/>
      <c r="V924" s="78"/>
    </row>
    <row r="925" ht="15.75" customHeight="1">
      <c r="P925" s="78"/>
      <c r="Q925" s="78"/>
      <c r="R925" s="78"/>
      <c r="S925" s="78"/>
      <c r="T925" s="78"/>
      <c r="U925" s="78"/>
      <c r="V925" s="78"/>
    </row>
    <row r="926" ht="15.75" customHeight="1">
      <c r="P926" s="78"/>
      <c r="Q926" s="78"/>
      <c r="R926" s="78"/>
      <c r="S926" s="78"/>
      <c r="T926" s="78"/>
      <c r="U926" s="78"/>
      <c r="V926" s="78"/>
    </row>
    <row r="927" ht="15.75" customHeight="1">
      <c r="P927" s="78"/>
      <c r="Q927" s="78"/>
      <c r="R927" s="78"/>
      <c r="S927" s="78"/>
      <c r="T927" s="78"/>
      <c r="U927" s="78"/>
      <c r="V927" s="78"/>
    </row>
    <row r="928" ht="15.75" customHeight="1">
      <c r="P928" s="78"/>
      <c r="Q928" s="78"/>
      <c r="R928" s="78"/>
      <c r="S928" s="78"/>
      <c r="T928" s="78"/>
      <c r="U928" s="78"/>
      <c r="V928" s="78"/>
    </row>
    <row r="929" ht="15.75" customHeight="1">
      <c r="P929" s="78"/>
      <c r="Q929" s="78"/>
      <c r="R929" s="78"/>
      <c r="S929" s="78"/>
      <c r="T929" s="78"/>
      <c r="U929" s="78"/>
      <c r="V929" s="78"/>
    </row>
    <row r="930" ht="15.75" customHeight="1">
      <c r="P930" s="78"/>
      <c r="Q930" s="78"/>
      <c r="R930" s="78"/>
      <c r="S930" s="78"/>
      <c r="T930" s="78"/>
      <c r="U930" s="78"/>
      <c r="V930" s="78"/>
    </row>
    <row r="931" ht="15.75" customHeight="1">
      <c r="P931" s="78"/>
      <c r="Q931" s="78"/>
      <c r="R931" s="78"/>
      <c r="S931" s="78"/>
      <c r="T931" s="78"/>
      <c r="U931" s="78"/>
      <c r="V931" s="78"/>
    </row>
    <row r="932" ht="15.75" customHeight="1">
      <c r="P932" s="78"/>
      <c r="Q932" s="78"/>
      <c r="R932" s="78"/>
      <c r="S932" s="78"/>
      <c r="T932" s="78"/>
      <c r="U932" s="78"/>
      <c r="V932" s="78"/>
    </row>
    <row r="933" ht="15.75" customHeight="1">
      <c r="P933" s="78"/>
      <c r="Q933" s="78"/>
      <c r="R933" s="78"/>
      <c r="S933" s="78"/>
      <c r="T933" s="78"/>
      <c r="U933" s="78"/>
      <c r="V933" s="78"/>
    </row>
    <row r="934" ht="15.75" customHeight="1">
      <c r="P934" s="78"/>
      <c r="Q934" s="78"/>
      <c r="R934" s="78"/>
      <c r="S934" s="78"/>
      <c r="T934" s="78"/>
      <c r="U934" s="78"/>
      <c r="V934" s="78"/>
    </row>
    <row r="935" ht="15.75" customHeight="1">
      <c r="P935" s="78"/>
      <c r="Q935" s="78"/>
      <c r="R935" s="78"/>
      <c r="S935" s="78"/>
      <c r="T935" s="78"/>
      <c r="U935" s="78"/>
      <c r="V935" s="78"/>
    </row>
    <row r="936" ht="15.75" customHeight="1">
      <c r="P936" s="78"/>
      <c r="Q936" s="78"/>
      <c r="R936" s="78"/>
      <c r="S936" s="78"/>
      <c r="T936" s="78"/>
      <c r="U936" s="78"/>
      <c r="V936" s="78"/>
    </row>
    <row r="937" ht="15.75" customHeight="1">
      <c r="P937" s="78"/>
      <c r="Q937" s="78"/>
      <c r="R937" s="78"/>
      <c r="S937" s="78"/>
      <c r="T937" s="78"/>
      <c r="U937" s="78"/>
      <c r="V937" s="78"/>
    </row>
    <row r="938" ht="15.75" customHeight="1">
      <c r="P938" s="78"/>
      <c r="Q938" s="78"/>
      <c r="R938" s="78"/>
      <c r="S938" s="78"/>
      <c r="T938" s="78"/>
      <c r="U938" s="78"/>
      <c r="V938" s="78"/>
    </row>
    <row r="939" ht="15.75" customHeight="1">
      <c r="P939" s="78"/>
      <c r="Q939" s="78"/>
      <c r="R939" s="78"/>
      <c r="S939" s="78"/>
      <c r="T939" s="78"/>
      <c r="U939" s="78"/>
      <c r="V939" s="78"/>
    </row>
    <row r="940" ht="15.75" customHeight="1">
      <c r="P940" s="78"/>
      <c r="Q940" s="78"/>
      <c r="R940" s="78"/>
      <c r="S940" s="78"/>
      <c r="T940" s="78"/>
      <c r="U940" s="78"/>
      <c r="V940" s="78"/>
    </row>
    <row r="941" ht="15.75" customHeight="1">
      <c r="P941" s="78"/>
      <c r="Q941" s="78"/>
      <c r="R941" s="78"/>
      <c r="S941" s="78"/>
      <c r="T941" s="78"/>
      <c r="U941" s="78"/>
      <c r="V941" s="78"/>
    </row>
    <row r="942" ht="15.75" customHeight="1">
      <c r="P942" s="78"/>
      <c r="Q942" s="78"/>
      <c r="R942" s="78"/>
      <c r="S942" s="78"/>
      <c r="T942" s="78"/>
      <c r="U942" s="78"/>
      <c r="V942" s="78"/>
    </row>
    <row r="943" ht="15.75" customHeight="1">
      <c r="P943" s="78"/>
      <c r="Q943" s="78"/>
      <c r="R943" s="78"/>
      <c r="S943" s="78"/>
      <c r="T943" s="78"/>
      <c r="U943" s="78"/>
      <c r="V943" s="78"/>
    </row>
    <row r="944" ht="15.75" customHeight="1">
      <c r="P944" s="78"/>
      <c r="Q944" s="78"/>
      <c r="R944" s="78"/>
      <c r="S944" s="78"/>
      <c r="T944" s="78"/>
      <c r="U944" s="78"/>
      <c r="V944" s="78"/>
    </row>
    <row r="945" ht="15.75" customHeight="1">
      <c r="P945" s="78"/>
      <c r="Q945" s="78"/>
      <c r="R945" s="78"/>
      <c r="S945" s="78"/>
      <c r="T945" s="78"/>
      <c r="U945" s="78"/>
      <c r="V945" s="78"/>
    </row>
    <row r="946" ht="15.75" customHeight="1">
      <c r="P946" s="78"/>
      <c r="Q946" s="78"/>
      <c r="R946" s="78"/>
      <c r="S946" s="78"/>
      <c r="T946" s="78"/>
      <c r="U946" s="78"/>
      <c r="V946" s="78"/>
    </row>
    <row r="947" ht="15.75" customHeight="1">
      <c r="P947" s="78"/>
      <c r="Q947" s="78"/>
      <c r="R947" s="78"/>
      <c r="S947" s="78"/>
      <c r="T947" s="78"/>
      <c r="U947" s="78"/>
      <c r="V947" s="78"/>
    </row>
    <row r="948" ht="15.75" customHeight="1">
      <c r="P948" s="78"/>
      <c r="Q948" s="78"/>
      <c r="R948" s="78"/>
      <c r="S948" s="78"/>
      <c r="T948" s="78"/>
      <c r="U948" s="78"/>
      <c r="V948" s="78"/>
    </row>
    <row r="949" ht="15.75" customHeight="1">
      <c r="P949" s="78"/>
      <c r="Q949" s="78"/>
      <c r="R949" s="78"/>
      <c r="S949" s="78"/>
      <c r="T949" s="78"/>
      <c r="U949" s="78"/>
      <c r="V949" s="78"/>
    </row>
    <row r="950" ht="15.75" customHeight="1">
      <c r="P950" s="78"/>
      <c r="Q950" s="78"/>
      <c r="R950" s="78"/>
      <c r="S950" s="78"/>
      <c r="T950" s="78"/>
      <c r="U950" s="78"/>
      <c r="V950" s="78"/>
    </row>
    <row r="951" ht="15.75" customHeight="1">
      <c r="P951" s="78"/>
      <c r="Q951" s="78"/>
      <c r="R951" s="78"/>
      <c r="S951" s="78"/>
      <c r="T951" s="78"/>
      <c r="U951" s="78"/>
      <c r="V951" s="78"/>
    </row>
    <row r="952" ht="15.75" customHeight="1">
      <c r="P952" s="78"/>
      <c r="Q952" s="78"/>
      <c r="R952" s="78"/>
      <c r="S952" s="78"/>
      <c r="T952" s="78"/>
      <c r="U952" s="78"/>
      <c r="V952" s="78"/>
    </row>
    <row r="953" ht="15.75" customHeight="1">
      <c r="P953" s="78"/>
      <c r="Q953" s="78"/>
      <c r="R953" s="78"/>
      <c r="S953" s="78"/>
      <c r="T953" s="78"/>
      <c r="U953" s="78"/>
      <c r="V953" s="78"/>
    </row>
    <row r="954" ht="15.75" customHeight="1">
      <c r="P954" s="78"/>
      <c r="Q954" s="78"/>
      <c r="R954" s="78"/>
      <c r="S954" s="78"/>
      <c r="T954" s="78"/>
      <c r="U954" s="78"/>
      <c r="V954" s="78"/>
    </row>
    <row r="955" ht="15.75" customHeight="1">
      <c r="P955" s="78"/>
      <c r="Q955" s="78"/>
      <c r="R955" s="78"/>
      <c r="S955" s="78"/>
      <c r="T955" s="78"/>
      <c r="U955" s="78"/>
      <c r="V955" s="78"/>
    </row>
    <row r="956" ht="15.75" customHeight="1">
      <c r="P956" s="78"/>
      <c r="Q956" s="78"/>
      <c r="R956" s="78"/>
      <c r="S956" s="78"/>
      <c r="T956" s="78"/>
      <c r="U956" s="78"/>
      <c r="V956" s="78"/>
    </row>
    <row r="957" ht="15.75" customHeight="1">
      <c r="P957" s="78"/>
      <c r="Q957" s="78"/>
      <c r="R957" s="78"/>
      <c r="S957" s="78"/>
      <c r="T957" s="78"/>
      <c r="U957" s="78"/>
      <c r="V957" s="78"/>
    </row>
    <row r="958" ht="15.75" customHeight="1">
      <c r="P958" s="78"/>
      <c r="Q958" s="78"/>
      <c r="R958" s="78"/>
      <c r="S958" s="78"/>
      <c r="T958" s="78"/>
      <c r="U958" s="78"/>
      <c r="V958" s="78"/>
    </row>
    <row r="959" ht="15.75" customHeight="1">
      <c r="P959" s="78"/>
      <c r="Q959" s="78"/>
      <c r="R959" s="78"/>
      <c r="S959" s="78"/>
      <c r="T959" s="78"/>
      <c r="U959" s="78"/>
      <c r="V959" s="78"/>
    </row>
    <row r="960" ht="15.75" customHeight="1">
      <c r="P960" s="78"/>
      <c r="Q960" s="78"/>
      <c r="R960" s="78"/>
      <c r="S960" s="78"/>
      <c r="T960" s="78"/>
      <c r="U960" s="78"/>
      <c r="V960" s="78"/>
    </row>
    <row r="961" ht="15.75" customHeight="1">
      <c r="P961" s="78"/>
      <c r="Q961" s="78"/>
      <c r="R961" s="78"/>
      <c r="S961" s="78"/>
      <c r="T961" s="78"/>
      <c r="U961" s="78"/>
      <c r="V961" s="78"/>
    </row>
    <row r="962" ht="15.75" customHeight="1">
      <c r="P962" s="78"/>
      <c r="Q962" s="78"/>
      <c r="R962" s="78"/>
      <c r="S962" s="78"/>
      <c r="T962" s="78"/>
      <c r="U962" s="78"/>
      <c r="V962" s="78"/>
    </row>
    <row r="963" ht="15.75" customHeight="1">
      <c r="P963" s="78"/>
      <c r="Q963" s="78"/>
      <c r="R963" s="78"/>
      <c r="S963" s="78"/>
      <c r="T963" s="78"/>
      <c r="U963" s="78"/>
      <c r="V963" s="78"/>
    </row>
    <row r="964" ht="15.75" customHeight="1">
      <c r="P964" s="78"/>
      <c r="Q964" s="78"/>
      <c r="R964" s="78"/>
      <c r="S964" s="78"/>
      <c r="T964" s="78"/>
      <c r="U964" s="78"/>
      <c r="V964" s="78"/>
    </row>
    <row r="965" ht="15.75" customHeight="1">
      <c r="P965" s="78"/>
      <c r="Q965" s="78"/>
      <c r="R965" s="78"/>
      <c r="S965" s="78"/>
      <c r="T965" s="78"/>
      <c r="U965" s="78"/>
      <c r="V965" s="78"/>
    </row>
    <row r="966" ht="15.75" customHeight="1">
      <c r="P966" s="78"/>
      <c r="Q966" s="78"/>
      <c r="R966" s="78"/>
      <c r="S966" s="78"/>
      <c r="T966" s="78"/>
      <c r="U966" s="78"/>
      <c r="V966" s="78"/>
    </row>
    <row r="967" ht="15.75" customHeight="1">
      <c r="P967" s="78"/>
      <c r="Q967" s="78"/>
      <c r="R967" s="78"/>
      <c r="S967" s="78"/>
      <c r="T967" s="78"/>
      <c r="U967" s="78"/>
      <c r="V967" s="78"/>
    </row>
    <row r="968" ht="15.75" customHeight="1">
      <c r="P968" s="78"/>
      <c r="Q968" s="78"/>
      <c r="R968" s="78"/>
      <c r="S968" s="78"/>
      <c r="T968" s="78"/>
      <c r="U968" s="78"/>
      <c r="V968" s="78"/>
    </row>
    <row r="969" ht="15.75" customHeight="1">
      <c r="P969" s="78"/>
      <c r="Q969" s="78"/>
      <c r="R969" s="78"/>
      <c r="S969" s="78"/>
      <c r="T969" s="78"/>
      <c r="U969" s="78"/>
      <c r="V969" s="78"/>
    </row>
    <row r="970" ht="15.75" customHeight="1">
      <c r="P970" s="78"/>
      <c r="Q970" s="78"/>
      <c r="R970" s="78"/>
      <c r="S970" s="78"/>
      <c r="T970" s="78"/>
      <c r="U970" s="78"/>
      <c r="V970" s="78"/>
    </row>
    <row r="971" ht="15.75" customHeight="1">
      <c r="P971" s="78"/>
      <c r="Q971" s="78"/>
      <c r="R971" s="78"/>
      <c r="S971" s="78"/>
      <c r="T971" s="78"/>
      <c r="U971" s="78"/>
      <c r="V971" s="78"/>
    </row>
    <row r="972" ht="15.75" customHeight="1">
      <c r="P972" s="78"/>
      <c r="Q972" s="78"/>
      <c r="R972" s="78"/>
      <c r="S972" s="78"/>
      <c r="T972" s="78"/>
      <c r="U972" s="78"/>
      <c r="V972" s="78"/>
    </row>
    <row r="973" ht="15.75" customHeight="1">
      <c r="P973" s="78"/>
      <c r="Q973" s="78"/>
      <c r="R973" s="78"/>
      <c r="S973" s="78"/>
      <c r="T973" s="78"/>
      <c r="U973" s="78"/>
      <c r="V973" s="78"/>
    </row>
    <row r="974" ht="15.75" customHeight="1">
      <c r="P974" s="78"/>
      <c r="Q974" s="78"/>
      <c r="R974" s="78"/>
      <c r="S974" s="78"/>
      <c r="T974" s="78"/>
      <c r="U974" s="78"/>
      <c r="V974" s="78"/>
    </row>
    <row r="975" ht="15.75" customHeight="1">
      <c r="P975" s="78"/>
      <c r="Q975" s="78"/>
      <c r="R975" s="78"/>
      <c r="S975" s="78"/>
      <c r="T975" s="78"/>
      <c r="U975" s="78"/>
      <c r="V975" s="78"/>
    </row>
    <row r="976" ht="15.75" customHeight="1">
      <c r="P976" s="78"/>
      <c r="Q976" s="78"/>
      <c r="R976" s="78"/>
      <c r="S976" s="78"/>
      <c r="T976" s="78"/>
      <c r="U976" s="78"/>
      <c r="V976" s="78"/>
    </row>
    <row r="977" ht="15.75" customHeight="1">
      <c r="P977" s="78"/>
      <c r="Q977" s="78"/>
      <c r="R977" s="78"/>
      <c r="S977" s="78"/>
      <c r="T977" s="78"/>
      <c r="U977" s="78"/>
      <c r="V977" s="78"/>
    </row>
    <row r="978" ht="15.75" customHeight="1">
      <c r="P978" s="78"/>
      <c r="Q978" s="78"/>
      <c r="R978" s="78"/>
      <c r="S978" s="78"/>
      <c r="T978" s="78"/>
      <c r="U978" s="78"/>
      <c r="V978" s="78"/>
    </row>
    <row r="979" ht="15.75" customHeight="1">
      <c r="P979" s="78"/>
      <c r="Q979" s="78"/>
      <c r="R979" s="78"/>
      <c r="S979" s="78"/>
      <c r="T979" s="78"/>
      <c r="U979" s="78"/>
      <c r="V979" s="78"/>
    </row>
    <row r="980" ht="15.75" customHeight="1">
      <c r="P980" s="78"/>
      <c r="Q980" s="78"/>
      <c r="R980" s="78"/>
      <c r="S980" s="78"/>
      <c r="T980" s="78"/>
      <c r="U980" s="78"/>
      <c r="V980" s="78"/>
    </row>
    <row r="981" ht="15.75" customHeight="1">
      <c r="P981" s="78"/>
      <c r="Q981" s="78"/>
      <c r="R981" s="78"/>
      <c r="S981" s="78"/>
      <c r="T981" s="78"/>
      <c r="U981" s="78"/>
      <c r="V981" s="78"/>
    </row>
    <row r="982" ht="15.75" customHeight="1">
      <c r="P982" s="78"/>
      <c r="Q982" s="78"/>
      <c r="R982" s="78"/>
      <c r="S982" s="78"/>
      <c r="T982" s="78"/>
      <c r="U982" s="78"/>
      <c r="V982" s="78"/>
    </row>
    <row r="983" ht="15.75" customHeight="1">
      <c r="P983" s="78"/>
      <c r="Q983" s="78"/>
      <c r="R983" s="78"/>
      <c r="S983" s="78"/>
      <c r="T983" s="78"/>
      <c r="U983" s="78"/>
      <c r="V983" s="78"/>
    </row>
    <row r="984" ht="15.75" customHeight="1">
      <c r="P984" s="78"/>
      <c r="Q984" s="78"/>
      <c r="R984" s="78"/>
      <c r="S984" s="78"/>
      <c r="T984" s="78"/>
      <c r="U984" s="78"/>
      <c r="V984" s="78"/>
    </row>
    <row r="985" ht="15.75" customHeight="1">
      <c r="P985" s="78"/>
      <c r="Q985" s="78"/>
      <c r="R985" s="78"/>
      <c r="S985" s="78"/>
      <c r="T985" s="78"/>
      <c r="U985" s="78"/>
      <c r="V985" s="78"/>
    </row>
    <row r="986" ht="15.75" customHeight="1">
      <c r="P986" s="78"/>
      <c r="Q986" s="78"/>
      <c r="R986" s="78"/>
      <c r="S986" s="78"/>
      <c r="T986" s="78"/>
      <c r="U986" s="78"/>
      <c r="V986" s="78"/>
    </row>
    <row r="987" ht="15.75" customHeight="1">
      <c r="P987" s="78"/>
      <c r="Q987" s="78"/>
      <c r="R987" s="78"/>
      <c r="S987" s="78"/>
      <c r="T987" s="78"/>
      <c r="U987" s="78"/>
      <c r="V987" s="78"/>
    </row>
    <row r="988" ht="15.75" customHeight="1">
      <c r="P988" s="78"/>
      <c r="Q988" s="78"/>
      <c r="R988" s="78"/>
      <c r="S988" s="78"/>
      <c r="T988" s="78"/>
      <c r="U988" s="78"/>
      <c r="V988" s="78"/>
    </row>
    <row r="989" ht="15.75" customHeight="1">
      <c r="P989" s="78"/>
      <c r="Q989" s="78"/>
      <c r="R989" s="78"/>
      <c r="S989" s="78"/>
      <c r="T989" s="78"/>
      <c r="U989" s="78"/>
      <c r="V989" s="78"/>
    </row>
    <row r="990" ht="15.75" customHeight="1">
      <c r="P990" s="78"/>
      <c r="Q990" s="78"/>
      <c r="R990" s="78"/>
      <c r="S990" s="78"/>
      <c r="T990" s="78"/>
      <c r="U990" s="78"/>
      <c r="V990" s="78"/>
    </row>
    <row r="991" ht="15.75" customHeight="1">
      <c r="P991" s="78"/>
      <c r="Q991" s="78"/>
      <c r="R991" s="78"/>
      <c r="S991" s="78"/>
      <c r="T991" s="78"/>
      <c r="U991" s="78"/>
      <c r="V991" s="78"/>
    </row>
    <row r="992" ht="15.75" customHeight="1">
      <c r="P992" s="78"/>
      <c r="Q992" s="78"/>
      <c r="R992" s="78"/>
      <c r="S992" s="78"/>
      <c r="T992" s="78"/>
      <c r="U992" s="78"/>
      <c r="V992" s="78"/>
    </row>
    <row r="993" ht="15.75" customHeight="1">
      <c r="P993" s="78"/>
      <c r="Q993" s="78"/>
      <c r="R993" s="78"/>
      <c r="S993" s="78"/>
      <c r="T993" s="78"/>
      <c r="U993" s="78"/>
      <c r="V993" s="78"/>
    </row>
    <row r="994" ht="15.75" customHeight="1">
      <c r="P994" s="78"/>
      <c r="Q994" s="78"/>
      <c r="R994" s="78"/>
      <c r="S994" s="78"/>
      <c r="T994" s="78"/>
      <c r="U994" s="78"/>
      <c r="V994" s="78"/>
    </row>
    <row r="995" ht="15.75" customHeight="1">
      <c r="P995" s="78"/>
      <c r="Q995" s="78"/>
      <c r="R995" s="78"/>
      <c r="S995" s="78"/>
      <c r="T995" s="78"/>
      <c r="U995" s="78"/>
      <c r="V995" s="78"/>
    </row>
    <row r="996" ht="15.75" customHeight="1">
      <c r="P996" s="78"/>
      <c r="Q996" s="78"/>
      <c r="R996" s="78"/>
      <c r="S996" s="78"/>
      <c r="T996" s="78"/>
      <c r="U996" s="78"/>
      <c r="V996" s="78"/>
    </row>
    <row r="997" ht="15.75" customHeight="1">
      <c r="P997" s="78"/>
      <c r="Q997" s="78"/>
      <c r="R997" s="78"/>
      <c r="S997" s="78"/>
      <c r="T997" s="78"/>
      <c r="U997" s="78"/>
      <c r="V997" s="78"/>
    </row>
    <row r="998" ht="15.75" customHeight="1">
      <c r="P998" s="78"/>
      <c r="Q998" s="78"/>
      <c r="R998" s="78"/>
      <c r="S998" s="78"/>
      <c r="T998" s="78"/>
      <c r="U998" s="78"/>
      <c r="V998" s="78"/>
    </row>
    <row r="999" ht="15.75" customHeight="1">
      <c r="P999" s="78"/>
      <c r="Q999" s="78"/>
      <c r="R999" s="78"/>
      <c r="S999" s="78"/>
      <c r="T999" s="78"/>
      <c r="U999" s="78"/>
      <c r="V999" s="78"/>
    </row>
    <row r="1000" ht="15.75" customHeight="1">
      <c r="P1000" s="78"/>
      <c r="Q1000" s="78"/>
      <c r="R1000" s="78"/>
      <c r="S1000" s="78"/>
      <c r="T1000" s="78"/>
      <c r="U1000" s="78"/>
      <c r="V1000" s="78"/>
    </row>
  </sheetData>
  <mergeCells count="8">
    <mergeCell ref="B1:N2"/>
    <mergeCell ref="H3:H42"/>
    <mergeCell ref="B8:C8"/>
    <mergeCell ref="I8:J8"/>
    <mergeCell ref="B15:C15"/>
    <mergeCell ref="I20:J20"/>
    <mergeCell ref="B38:C38"/>
    <mergeCell ref="P1:V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1.75"/>
    <col customWidth="1" min="3" max="3" width="16.13"/>
    <col customWidth="1" min="4" max="4" width="8.5"/>
    <col customWidth="1" min="5" max="5" width="8.38"/>
    <col customWidth="1" min="6" max="6" width="8.5"/>
    <col customWidth="1" min="7" max="7" width="7.63"/>
    <col customWidth="1" min="8" max="8" width="5.25"/>
    <col customWidth="1" min="9" max="9" width="19.88"/>
    <col customWidth="1" min="16" max="16" width="20.5"/>
    <col customWidth="1" hidden="1" min="17" max="17" width="40.0"/>
  </cols>
  <sheetData>
    <row r="1" ht="15.75" customHeight="1">
      <c r="A1" s="12"/>
      <c r="B1" s="111" t="s">
        <v>130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2"/>
      <c r="P1" s="64" t="s">
        <v>130</v>
      </c>
      <c r="Q1" s="17"/>
      <c r="R1" s="17"/>
      <c r="S1" s="17"/>
      <c r="T1" s="17"/>
      <c r="U1" s="17"/>
      <c r="V1" s="18"/>
      <c r="W1" s="12"/>
      <c r="X1" s="12"/>
      <c r="Y1" s="12"/>
      <c r="Z1" s="12"/>
    </row>
    <row r="2" ht="15.75" customHeight="1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2"/>
      <c r="P2" s="65" t="s">
        <v>23</v>
      </c>
      <c r="Q2" s="81" t="s">
        <v>24</v>
      </c>
      <c r="R2" s="67" t="s">
        <v>7</v>
      </c>
      <c r="S2" s="67" t="s">
        <v>8</v>
      </c>
      <c r="T2" s="67" t="s">
        <v>9</v>
      </c>
      <c r="U2" s="67" t="s">
        <v>10</v>
      </c>
      <c r="V2" s="67" t="s">
        <v>11</v>
      </c>
      <c r="W2" s="12"/>
      <c r="X2" s="12"/>
      <c r="Y2" s="12"/>
      <c r="Z2" s="12"/>
    </row>
    <row r="3" ht="15.75" customHeight="1">
      <c r="A3" s="112"/>
      <c r="B3" s="113" t="s">
        <v>25</v>
      </c>
      <c r="C3" s="114" t="s">
        <v>128</v>
      </c>
      <c r="D3" s="115"/>
      <c r="E3" s="115"/>
      <c r="F3" s="115"/>
      <c r="G3" s="116"/>
      <c r="H3" s="117"/>
      <c r="I3" s="113" t="s">
        <v>27</v>
      </c>
      <c r="J3" s="114" t="s">
        <v>26</v>
      </c>
      <c r="K3" s="115"/>
      <c r="L3" s="115"/>
      <c r="M3" s="115"/>
      <c r="N3" s="118"/>
      <c r="O3" s="119"/>
      <c r="P3" s="74" t="s">
        <v>0</v>
      </c>
      <c r="Q3" s="120" t="s">
        <v>29</v>
      </c>
      <c r="R3" s="76">
        <f t="shared" ref="R3:V3" si="1">J29/J32</f>
        <v>0.8552023561</v>
      </c>
      <c r="S3" s="76">
        <f t="shared" si="1"/>
        <v>0.7244686328</v>
      </c>
      <c r="T3" s="76">
        <f t="shared" si="1"/>
        <v>0.4845894412</v>
      </c>
      <c r="U3" s="76">
        <f t="shared" si="1"/>
        <v>0.6213416546</v>
      </c>
      <c r="V3" s="76">
        <f t="shared" si="1"/>
        <v>0.4546140601</v>
      </c>
      <c r="W3" s="112"/>
      <c r="X3" s="112"/>
      <c r="Y3" s="112"/>
      <c r="Z3" s="112"/>
    </row>
    <row r="4" ht="15.75" customHeight="1">
      <c r="A4" s="12"/>
      <c r="B4" s="34"/>
      <c r="C4" s="35" t="s">
        <v>7</v>
      </c>
      <c r="D4" s="35" t="s">
        <v>8</v>
      </c>
      <c r="E4" s="35" t="s">
        <v>9</v>
      </c>
      <c r="F4" s="35" t="s">
        <v>10</v>
      </c>
      <c r="G4" s="36" t="s">
        <v>11</v>
      </c>
      <c r="I4" s="34"/>
      <c r="J4" s="35" t="s">
        <v>7</v>
      </c>
      <c r="K4" s="35" t="s">
        <v>8</v>
      </c>
      <c r="L4" s="35" t="s">
        <v>9</v>
      </c>
      <c r="M4" s="35" t="s">
        <v>10</v>
      </c>
      <c r="N4" s="121" t="s">
        <v>11</v>
      </c>
      <c r="O4" s="122"/>
      <c r="P4" s="74" t="s">
        <v>6</v>
      </c>
      <c r="Q4" s="120" t="s">
        <v>30</v>
      </c>
      <c r="R4" s="76">
        <f t="shared" ref="R4:V4" si="2">(J29-J26)/J32</f>
        <v>0.577732208</v>
      </c>
      <c r="S4" s="76">
        <f t="shared" si="2"/>
        <v>0.5237103092</v>
      </c>
      <c r="T4" s="76">
        <f t="shared" si="2"/>
        <v>0.3082146349</v>
      </c>
      <c r="U4" s="76">
        <f t="shared" si="2"/>
        <v>0.3882634973</v>
      </c>
      <c r="V4" s="76">
        <f t="shared" si="2"/>
        <v>0.2590187152</v>
      </c>
      <c r="W4" s="12"/>
      <c r="X4" s="12"/>
      <c r="Y4" s="12"/>
      <c r="Z4" s="12"/>
    </row>
    <row r="5" ht="15.75" customHeight="1">
      <c r="A5" s="12"/>
      <c r="B5" s="37"/>
      <c r="C5" s="38"/>
      <c r="D5" s="38"/>
      <c r="E5" s="38"/>
      <c r="F5" s="38"/>
      <c r="G5" s="39"/>
      <c r="I5" s="37"/>
      <c r="J5" s="38"/>
      <c r="K5" s="38"/>
      <c r="L5" s="38"/>
      <c r="M5" s="38"/>
      <c r="N5" s="123"/>
      <c r="O5" s="122"/>
      <c r="P5" s="74" t="s">
        <v>31</v>
      </c>
      <c r="Q5" s="120" t="s">
        <v>32</v>
      </c>
      <c r="R5" s="76">
        <f t="shared" ref="R5:U5" si="3">C10/((J36+K36)/2)</f>
        <v>0.5260955247</v>
      </c>
      <c r="S5" s="76">
        <f t="shared" si="3"/>
        <v>0.3992530764</v>
      </c>
      <c r="T5" s="76">
        <f t="shared" si="3"/>
        <v>0.3560694924</v>
      </c>
      <c r="U5" s="76">
        <f t="shared" si="3"/>
        <v>0.3781218854</v>
      </c>
      <c r="V5" s="76">
        <f>G10/N36</f>
        <v>0.3722342294</v>
      </c>
      <c r="W5" s="12"/>
      <c r="X5" s="12"/>
      <c r="Y5" s="12"/>
      <c r="Z5" s="12"/>
    </row>
    <row r="6" ht="15.75" customHeight="1">
      <c r="A6" s="12"/>
      <c r="B6" s="40"/>
      <c r="C6" s="41" t="s">
        <v>33</v>
      </c>
      <c r="D6" s="41" t="s">
        <v>33</v>
      </c>
      <c r="E6" s="41" t="s">
        <v>33</v>
      </c>
      <c r="F6" s="41" t="s">
        <v>33</v>
      </c>
      <c r="G6" s="42" t="s">
        <v>33</v>
      </c>
      <c r="I6" s="40"/>
      <c r="J6" s="41" t="s">
        <v>33</v>
      </c>
      <c r="K6" s="41" t="s">
        <v>33</v>
      </c>
      <c r="L6" s="41" t="s">
        <v>33</v>
      </c>
      <c r="M6" s="41" t="s">
        <v>33</v>
      </c>
      <c r="N6" s="124" t="s">
        <v>33</v>
      </c>
      <c r="O6" s="122"/>
      <c r="P6" s="74" t="s">
        <v>34</v>
      </c>
      <c r="Q6" s="120" t="s">
        <v>35</v>
      </c>
      <c r="R6" s="76">
        <f t="shared" ref="R6:V6" si="4">C10/((J27+K27)/2)</f>
        <v>6.963774671</v>
      </c>
      <c r="S6" s="76">
        <f t="shared" si="4"/>
        <v>6.452962964</v>
      </c>
      <c r="T6" s="76">
        <f t="shared" si="4"/>
        <v>6.755689086</v>
      </c>
      <c r="U6" s="76">
        <f t="shared" si="4"/>
        <v>8.107253473</v>
      </c>
      <c r="V6" s="76">
        <f t="shared" si="4"/>
        <v>21.41544441</v>
      </c>
      <c r="W6" s="12"/>
      <c r="X6" s="12"/>
      <c r="Y6" s="12"/>
      <c r="Z6" s="12"/>
    </row>
    <row r="7" ht="15.75" customHeight="1">
      <c r="A7" s="12"/>
      <c r="B7" s="37"/>
      <c r="C7" s="38"/>
      <c r="D7" s="38"/>
      <c r="E7" s="38"/>
      <c r="F7" s="38"/>
      <c r="G7" s="39"/>
      <c r="I7" s="37"/>
      <c r="J7" s="38"/>
      <c r="K7" s="38"/>
      <c r="L7" s="38"/>
      <c r="M7" s="38"/>
      <c r="N7" s="123"/>
      <c r="O7" s="122"/>
      <c r="P7" s="74" t="s">
        <v>36</v>
      </c>
      <c r="Q7" s="120" t="s">
        <v>37</v>
      </c>
      <c r="R7" s="76">
        <f t="shared" ref="R7:U7" si="5">C19/((J26+K26)/2)</f>
        <v>10.40631831</v>
      </c>
      <c r="S7" s="76">
        <f t="shared" si="5"/>
        <v>8.817204405</v>
      </c>
      <c r="T7" s="76">
        <f t="shared" si="5"/>
        <v>7.071876569</v>
      </c>
      <c r="U7" s="76">
        <f t="shared" si="5"/>
        <v>7.543602844</v>
      </c>
      <c r="V7" s="76">
        <f>G19/N26</f>
        <v>8.454653343</v>
      </c>
      <c r="W7" s="12"/>
      <c r="X7" s="12"/>
      <c r="Y7" s="12"/>
      <c r="Z7" s="12"/>
    </row>
    <row r="8" ht="15.75" customHeight="1">
      <c r="A8" s="12"/>
      <c r="B8" s="43" t="s">
        <v>38</v>
      </c>
      <c r="C8" s="18"/>
      <c r="D8" s="35"/>
      <c r="E8" s="35"/>
      <c r="F8" s="35"/>
      <c r="G8" s="36"/>
      <c r="I8" s="43" t="s">
        <v>39</v>
      </c>
      <c r="J8" s="18"/>
      <c r="K8" s="35"/>
      <c r="L8" s="35"/>
      <c r="M8" s="35"/>
      <c r="N8" s="121"/>
      <c r="O8" s="122"/>
      <c r="P8" s="74" t="s">
        <v>18</v>
      </c>
      <c r="Q8" s="120" t="s">
        <v>40</v>
      </c>
      <c r="R8" s="76">
        <f t="shared" ref="R8:V8" si="6">J14/J36</f>
        <v>0.5711786743</v>
      </c>
      <c r="S8" s="76">
        <f t="shared" si="6"/>
        <v>0.5713027684</v>
      </c>
      <c r="T8" s="76">
        <f t="shared" si="6"/>
        <v>0.5796677451</v>
      </c>
      <c r="U8" s="76">
        <f t="shared" si="6"/>
        <v>0.5857511102</v>
      </c>
      <c r="V8" s="76">
        <f t="shared" si="6"/>
        <v>0.5572789814</v>
      </c>
      <c r="W8" s="12"/>
      <c r="X8" s="12"/>
      <c r="Y8" s="12"/>
      <c r="Z8" s="12"/>
    </row>
    <row r="9" ht="15.75" customHeight="1">
      <c r="A9" s="12"/>
      <c r="B9" s="40" t="s">
        <v>41</v>
      </c>
      <c r="C9" s="44">
        <v>163769.77</v>
      </c>
      <c r="D9" s="44">
        <v>116137.33</v>
      </c>
      <c r="E9" s="44">
        <v>99206.72</v>
      </c>
      <c r="F9" s="44">
        <v>97700.39</v>
      </c>
      <c r="G9" s="45">
        <v>90307.43</v>
      </c>
      <c r="I9" s="40" t="s">
        <v>42</v>
      </c>
      <c r="J9" s="44">
        <v>9696.67</v>
      </c>
      <c r="K9" s="44">
        <v>9696.67</v>
      </c>
      <c r="L9" s="44">
        <v>9696.67</v>
      </c>
      <c r="M9" s="44">
        <v>9894.56</v>
      </c>
      <c r="N9" s="125">
        <v>9894.56</v>
      </c>
      <c r="O9" s="122"/>
      <c r="P9" s="74" t="s">
        <v>43</v>
      </c>
      <c r="Q9" s="120" t="s">
        <v>44</v>
      </c>
      <c r="R9" s="76">
        <f t="shared" ref="R9:V9" si="7">J14/(J15-J14)</f>
        <v>1.331973575</v>
      </c>
      <c r="S9" s="76">
        <f t="shared" si="7"/>
        <v>1.332648607</v>
      </c>
      <c r="T9" s="76">
        <f t="shared" si="7"/>
        <v>1.379070339</v>
      </c>
      <c r="U9" s="76">
        <f t="shared" si="7"/>
        <v>1.414007677</v>
      </c>
      <c r="V9" s="76">
        <f t="shared" si="7"/>
        <v>1.258758808</v>
      </c>
      <c r="W9" s="12"/>
      <c r="X9" s="12"/>
      <c r="Y9" s="12"/>
      <c r="Z9" s="12"/>
    </row>
    <row r="10" ht="15.75" customHeight="1">
      <c r="A10" s="12"/>
      <c r="B10" s="40" t="s">
        <v>49</v>
      </c>
      <c r="C10" s="44">
        <v>163769.77</v>
      </c>
      <c r="D10" s="44">
        <v>116137.33</v>
      </c>
      <c r="E10" s="44">
        <v>99206.72</v>
      </c>
      <c r="F10" s="44">
        <v>97700.39</v>
      </c>
      <c r="G10" s="45">
        <v>90307.43</v>
      </c>
      <c r="I10" s="40" t="s">
        <v>46</v>
      </c>
      <c r="J10" s="44">
        <v>9696.67</v>
      </c>
      <c r="K10" s="44">
        <v>9696.67</v>
      </c>
      <c r="L10" s="44">
        <v>9696.67</v>
      </c>
      <c r="M10" s="44">
        <v>9894.56</v>
      </c>
      <c r="N10" s="125">
        <v>9894.56</v>
      </c>
      <c r="O10" s="122"/>
      <c r="P10" s="74" t="s">
        <v>47</v>
      </c>
      <c r="Q10" s="120" t="s">
        <v>48</v>
      </c>
      <c r="R10" s="76">
        <f t="shared" ref="R10:V10" si="8">AVERAGE(J36:K36)/AVERAGE(J12:K12)</f>
        <v>2.332297386</v>
      </c>
      <c r="S10" s="76">
        <f t="shared" si="8"/>
        <v>2.355007696</v>
      </c>
      <c r="T10" s="76">
        <f t="shared" si="8"/>
        <v>2.396132174</v>
      </c>
      <c r="U10" s="76">
        <f t="shared" si="8"/>
        <v>2.338547557</v>
      </c>
      <c r="V10" s="76">
        <f t="shared" si="8"/>
        <v>2.258758808</v>
      </c>
      <c r="W10" s="12"/>
      <c r="X10" s="12"/>
      <c r="Y10" s="12"/>
      <c r="Z10" s="12"/>
    </row>
    <row r="11" ht="15.75" customHeight="1">
      <c r="A11" s="12"/>
      <c r="B11" s="40" t="s">
        <v>53</v>
      </c>
      <c r="C11" s="44">
        <v>3284.25</v>
      </c>
      <c r="D11" s="44">
        <v>5124.13</v>
      </c>
      <c r="E11" s="44">
        <v>4647.39</v>
      </c>
      <c r="F11" s="44">
        <v>7321.28</v>
      </c>
      <c r="G11" s="45">
        <v>-2154.34</v>
      </c>
      <c r="I11" s="40" t="s">
        <v>50</v>
      </c>
      <c r="J11" s="44">
        <v>129193.21</v>
      </c>
      <c r="K11" s="44">
        <v>118354.4</v>
      </c>
      <c r="L11" s="44">
        <v>109288.82</v>
      </c>
      <c r="M11" s="44">
        <v>103674.88</v>
      </c>
      <c r="N11" s="125">
        <v>97513.61</v>
      </c>
      <c r="O11" s="122"/>
      <c r="P11" s="74" t="s">
        <v>51</v>
      </c>
      <c r="Q11" s="120" t="s">
        <v>52</v>
      </c>
      <c r="R11" s="76">
        <f t="shared" ref="R11:V11" si="9">(C25-C28)/C26</f>
        <v>3.344539609</v>
      </c>
      <c r="S11" s="76">
        <f t="shared" si="9"/>
        <v>3.77309612</v>
      </c>
      <c r="T11" s="76">
        <f t="shared" si="9"/>
        <v>3.088732717</v>
      </c>
      <c r="U11" s="76">
        <f t="shared" si="9"/>
        <v>3.802899453</v>
      </c>
      <c r="V11" s="76">
        <f t="shared" si="9"/>
        <v>2.833056306</v>
      </c>
      <c r="W11" s="12"/>
      <c r="X11" s="12"/>
      <c r="Y11" s="12"/>
      <c r="Z11" s="12"/>
    </row>
    <row r="12" ht="15.75" customHeight="1">
      <c r="A12" s="12"/>
      <c r="B12" s="34" t="s">
        <v>61</v>
      </c>
      <c r="C12" s="46">
        <v>167054.02</v>
      </c>
      <c r="D12" s="46">
        <v>121261.46</v>
      </c>
      <c r="E12" s="46">
        <v>103854.11</v>
      </c>
      <c r="F12" s="46">
        <v>105021.67</v>
      </c>
      <c r="G12" s="47">
        <v>88153.09</v>
      </c>
      <c r="I12" s="34" t="s">
        <v>54</v>
      </c>
      <c r="J12" s="46">
        <v>138889.88</v>
      </c>
      <c r="K12" s="46">
        <v>128051.07</v>
      </c>
      <c r="L12" s="46">
        <v>118985.49</v>
      </c>
      <c r="M12" s="46">
        <v>113569.44</v>
      </c>
      <c r="N12" s="126">
        <v>107408.17</v>
      </c>
      <c r="O12" s="122"/>
      <c r="P12" s="74" t="s">
        <v>55</v>
      </c>
      <c r="Q12" s="120" t="s">
        <v>56</v>
      </c>
      <c r="R12" s="76">
        <f t="shared" ref="R12:V12" si="10">C32/C10</f>
        <v>0.1050055209</v>
      </c>
      <c r="S12" s="76">
        <f t="shared" si="10"/>
        <v>0.1387273153</v>
      </c>
      <c r="T12" s="76">
        <f t="shared" si="10"/>
        <v>0.1387962428</v>
      </c>
      <c r="U12" s="76">
        <f t="shared" si="10"/>
        <v>0.1035083893</v>
      </c>
      <c r="V12" s="76">
        <f t="shared" si="10"/>
        <v>0.1301098924</v>
      </c>
      <c r="W12" s="12"/>
      <c r="X12" s="12"/>
      <c r="Y12" s="12"/>
      <c r="Z12" s="12"/>
    </row>
    <row r="13" ht="15.75" customHeight="1">
      <c r="A13" s="12"/>
      <c r="B13" s="43" t="s">
        <v>65</v>
      </c>
      <c r="C13" s="18"/>
      <c r="D13" s="35"/>
      <c r="E13" s="35"/>
      <c r="F13" s="35"/>
      <c r="G13" s="36"/>
      <c r="I13" s="40" t="s">
        <v>58</v>
      </c>
      <c r="J13" s="44">
        <v>184997.65</v>
      </c>
      <c r="K13" s="44">
        <v>170647.08</v>
      </c>
      <c r="L13" s="44">
        <v>164089.36</v>
      </c>
      <c r="M13" s="44">
        <v>160588.06</v>
      </c>
      <c r="N13" s="125">
        <v>135200.98</v>
      </c>
      <c r="O13" s="122"/>
      <c r="P13" s="74" t="s">
        <v>59</v>
      </c>
      <c r="Q13" s="120" t="s">
        <v>60</v>
      </c>
      <c r="R13" s="76">
        <f t="shared" ref="R13:V13" si="11">(C12-C19)/C10</f>
        <v>0.2840123669</v>
      </c>
      <c r="S13" s="76">
        <f t="shared" si="11"/>
        <v>0.3355495602</v>
      </c>
      <c r="T13" s="76">
        <f t="shared" si="11"/>
        <v>0.3371822997</v>
      </c>
      <c r="U13" s="76">
        <f t="shared" si="11"/>
        <v>0.3522401497</v>
      </c>
      <c r="V13" s="76">
        <f t="shared" si="11"/>
        <v>0.2282995984</v>
      </c>
      <c r="W13" s="12"/>
      <c r="X13" s="12"/>
      <c r="Y13" s="12"/>
      <c r="Z13" s="12"/>
    </row>
    <row r="14" ht="15.75" customHeight="1">
      <c r="A14" s="12"/>
      <c r="B14" s="40" t="s">
        <v>69</v>
      </c>
      <c r="C14" s="41">
        <v>248.6</v>
      </c>
      <c r="D14" s="41">
        <v>143.45</v>
      </c>
      <c r="E14" s="41">
        <v>90.9</v>
      </c>
      <c r="F14" s="41">
        <v>78.86</v>
      </c>
      <c r="G14" s="42">
        <v>86.31</v>
      </c>
      <c r="I14" s="34" t="s">
        <v>62</v>
      </c>
      <c r="J14" s="46">
        <v>184997.65</v>
      </c>
      <c r="K14" s="46">
        <v>170647.08</v>
      </c>
      <c r="L14" s="46">
        <v>164089.36</v>
      </c>
      <c r="M14" s="46">
        <v>160588.06</v>
      </c>
      <c r="N14" s="126">
        <v>135200.98</v>
      </c>
      <c r="O14" s="122"/>
      <c r="P14" s="74" t="s">
        <v>63</v>
      </c>
      <c r="Q14" s="120" t="s">
        <v>64</v>
      </c>
      <c r="R14" s="76">
        <f t="shared" ref="R14:U14" si="12">C32/AVERAGE(J36:K36)</f>
        <v>0.05524293459</v>
      </c>
      <c r="S14" s="76">
        <f t="shared" si="12"/>
        <v>0.05538730742</v>
      </c>
      <c r="T14" s="76">
        <f t="shared" si="12"/>
        <v>0.04942110773</v>
      </c>
      <c r="U14" s="76">
        <f t="shared" si="12"/>
        <v>0.0391387873</v>
      </c>
      <c r="V14" s="76">
        <f>G34/N36</f>
        <v>0.02029004265</v>
      </c>
      <c r="W14" s="12"/>
      <c r="X14" s="12"/>
      <c r="Y14" s="12"/>
      <c r="Z14" s="12"/>
    </row>
    <row r="15" ht="15.75" customHeight="1">
      <c r="A15" s="12"/>
      <c r="B15" s="40" t="s">
        <v>72</v>
      </c>
      <c r="C15" s="44">
        <v>101729.22</v>
      </c>
      <c r="D15" s="44">
        <v>67757.55</v>
      </c>
      <c r="E15" s="44">
        <v>56898.33</v>
      </c>
      <c r="F15" s="44">
        <v>58131.19</v>
      </c>
      <c r="G15" s="45">
        <v>56586.3</v>
      </c>
      <c r="I15" s="34" t="s">
        <v>66</v>
      </c>
      <c r="J15" s="46">
        <v>323887.53</v>
      </c>
      <c r="K15" s="46">
        <v>298698.15</v>
      </c>
      <c r="L15" s="46">
        <v>283074.85</v>
      </c>
      <c r="M15" s="46">
        <v>274157.5</v>
      </c>
      <c r="N15" s="126">
        <v>242609.15</v>
      </c>
      <c r="O15" s="122"/>
      <c r="P15" s="74" t="s">
        <v>67</v>
      </c>
      <c r="Q15" s="120" t="s">
        <v>68</v>
      </c>
      <c r="R15" s="76">
        <f t="shared" ref="R15:U15" si="13">C24/((J36+K36)/2)</f>
        <v>0.1388672801</v>
      </c>
      <c r="S15" s="76">
        <f t="shared" si="13"/>
        <v>0.1163536293</v>
      </c>
      <c r="T15" s="76">
        <f t="shared" si="13"/>
        <v>0.1033800712</v>
      </c>
      <c r="U15" s="76">
        <f t="shared" si="13"/>
        <v>0.1048547541</v>
      </c>
      <c r="V15" s="76">
        <f>G26/N36</f>
        <v>0.01944172345</v>
      </c>
      <c r="W15" s="12"/>
      <c r="X15" s="12"/>
      <c r="Y15" s="12"/>
      <c r="Z15" s="12"/>
    </row>
    <row r="16" ht="15.75" customHeight="1">
      <c r="A16" s="12"/>
      <c r="B16" s="40" t="s">
        <v>75</v>
      </c>
      <c r="C16" s="44">
        <v>5559.03</v>
      </c>
      <c r="D16" s="44">
        <v>5289.51</v>
      </c>
      <c r="E16" s="44">
        <v>4942.19</v>
      </c>
      <c r="F16" s="44">
        <v>4925.6</v>
      </c>
      <c r="G16" s="45">
        <v>4779.89</v>
      </c>
      <c r="I16" s="34"/>
      <c r="J16" s="35" t="s">
        <v>7</v>
      </c>
      <c r="K16" s="35" t="s">
        <v>8</v>
      </c>
      <c r="L16" s="35" t="s">
        <v>9</v>
      </c>
      <c r="M16" s="35" t="s">
        <v>10</v>
      </c>
      <c r="N16" s="121" t="s">
        <v>11</v>
      </c>
      <c r="O16" s="122"/>
      <c r="P16" s="74" t="s">
        <v>70</v>
      </c>
      <c r="Q16" s="120" t="s">
        <v>71</v>
      </c>
      <c r="R16" s="76">
        <f t="shared" ref="R16:V16" si="14">C34/((J12+K12)/2)</f>
        <v>0.03087634175</v>
      </c>
      <c r="S16" s="76">
        <f t="shared" si="14"/>
        <v>0.03140158687</v>
      </c>
      <c r="T16" s="76">
        <f t="shared" si="14"/>
        <v>0</v>
      </c>
      <c r="U16" s="76">
        <f t="shared" si="14"/>
        <v>0.004477648211</v>
      </c>
      <c r="V16" s="76">
        <f t="shared" si="14"/>
        <v>0.09166062507</v>
      </c>
      <c r="W16" s="12"/>
      <c r="X16" s="12"/>
      <c r="Y16" s="12"/>
      <c r="Z16" s="12"/>
    </row>
    <row r="17" ht="15.75" customHeight="1">
      <c r="A17" s="12"/>
      <c r="B17" s="40" t="s">
        <v>131</v>
      </c>
      <c r="C17" s="41">
        <v>39.85</v>
      </c>
      <c r="D17" s="41">
        <v>23.39</v>
      </c>
      <c r="E17" s="41">
        <v>7.43</v>
      </c>
      <c r="F17" s="41">
        <v>18.75</v>
      </c>
      <c r="G17" s="42">
        <v>20.52</v>
      </c>
      <c r="I17" s="37"/>
      <c r="J17" s="38"/>
      <c r="K17" s="38"/>
      <c r="L17" s="38"/>
      <c r="M17" s="38"/>
      <c r="N17" s="123"/>
      <c r="O17" s="122"/>
      <c r="P17" s="74" t="s">
        <v>73</v>
      </c>
      <c r="Q17" s="120" t="s">
        <v>74</v>
      </c>
      <c r="R17" s="76">
        <f>C36/C14</f>
        <v>0</v>
      </c>
      <c r="S17" s="76">
        <v>0.0978888468</v>
      </c>
      <c r="T17" s="76">
        <v>0.02859202822</v>
      </c>
      <c r="U17" s="76">
        <v>0.07469891885</v>
      </c>
      <c r="V17" s="76">
        <v>0.08201002939</v>
      </c>
      <c r="W17" s="12"/>
      <c r="X17" s="12"/>
      <c r="Y17" s="12"/>
      <c r="Z17" s="12"/>
    </row>
    <row r="18" ht="15.75" customHeight="1">
      <c r="A18" s="12"/>
      <c r="B18" s="40" t="s">
        <v>81</v>
      </c>
      <c r="C18" s="44">
        <v>12964.68</v>
      </c>
      <c r="D18" s="44">
        <v>9077.73</v>
      </c>
      <c r="E18" s="44">
        <v>8464.51</v>
      </c>
      <c r="F18" s="44">
        <v>7453.27</v>
      </c>
      <c r="G18" s="45">
        <v>6062.92</v>
      </c>
      <c r="I18" s="40"/>
      <c r="J18" s="41" t="s">
        <v>33</v>
      </c>
      <c r="K18" s="41" t="s">
        <v>33</v>
      </c>
      <c r="L18" s="41" t="s">
        <v>33</v>
      </c>
      <c r="M18" s="41" t="s">
        <v>33</v>
      </c>
      <c r="N18" s="124" t="s">
        <v>33</v>
      </c>
      <c r="O18" s="122"/>
      <c r="P18" s="74" t="s">
        <v>76</v>
      </c>
      <c r="Q18" s="120" t="s">
        <v>77</v>
      </c>
      <c r="R18" s="76">
        <f t="shared" ref="R18:V18" si="15">(C32-C34)/C32</f>
        <v>0.7603567655</v>
      </c>
      <c r="S18" s="76">
        <f t="shared" si="15"/>
        <v>0.7592595811</v>
      </c>
      <c r="T18" s="76">
        <f t="shared" si="15"/>
        <v>1</v>
      </c>
      <c r="U18" s="76">
        <f t="shared" si="15"/>
        <v>0.9510788792</v>
      </c>
      <c r="V18" s="76">
        <f t="shared" si="15"/>
        <v>0.5810556524</v>
      </c>
      <c r="W18" s="12"/>
      <c r="X18" s="12"/>
      <c r="Y18" s="12"/>
      <c r="Z18" s="12"/>
    </row>
    <row r="19" ht="15.75" customHeight="1">
      <c r="A19" s="12"/>
      <c r="B19" s="40" t="s">
        <v>85</v>
      </c>
      <c r="C19" s="44">
        <v>120541.38</v>
      </c>
      <c r="D19" s="44">
        <v>82291.63</v>
      </c>
      <c r="E19" s="44">
        <v>70403.36</v>
      </c>
      <c r="F19" s="44">
        <v>70607.67</v>
      </c>
      <c r="G19" s="45">
        <v>67535.94</v>
      </c>
      <c r="I19" s="37"/>
      <c r="J19" s="38"/>
      <c r="K19" s="38"/>
      <c r="L19" s="38"/>
      <c r="M19" s="38"/>
      <c r="N19" s="123"/>
      <c r="O19" s="122"/>
      <c r="P19" s="74" t="s">
        <v>79</v>
      </c>
      <c r="Q19" s="120" t="s">
        <v>80</v>
      </c>
      <c r="R19" s="76">
        <f t="shared" ref="R19:V19" si="16">C42/C38</f>
        <v>9.870276368</v>
      </c>
      <c r="S19" s="76">
        <f t="shared" si="16"/>
        <v>8.303249097</v>
      </c>
      <c r="T19" s="76">
        <f t="shared" si="16"/>
        <v>7.535211268</v>
      </c>
      <c r="U19" s="76">
        <f t="shared" si="16"/>
        <v>8.219178082</v>
      </c>
      <c r="V19" s="76">
        <f t="shared" si="16"/>
        <v>11.44781145</v>
      </c>
      <c r="W19" s="12"/>
      <c r="X19" s="12"/>
      <c r="Y19" s="12"/>
      <c r="Z19" s="12"/>
    </row>
    <row r="20" ht="15.75" customHeight="1">
      <c r="A20" s="12"/>
      <c r="B20" s="34"/>
      <c r="C20" s="35" t="s">
        <v>7</v>
      </c>
      <c r="D20" s="35" t="s">
        <v>8</v>
      </c>
      <c r="E20" s="35" t="s">
        <v>9</v>
      </c>
      <c r="F20" s="35" t="s">
        <v>10</v>
      </c>
      <c r="G20" s="36" t="s">
        <v>11</v>
      </c>
      <c r="I20" s="43" t="s">
        <v>82</v>
      </c>
      <c r="J20" s="18"/>
      <c r="K20" s="35"/>
      <c r="L20" s="35"/>
      <c r="M20" s="35"/>
      <c r="N20" s="121"/>
      <c r="O20" s="122"/>
      <c r="P20" s="74" t="s">
        <v>83</v>
      </c>
      <c r="Q20" s="120" t="s">
        <v>84</v>
      </c>
      <c r="R20" s="76">
        <f t="shared" ref="R20:V20" si="17">C34/C37/C42*100</f>
        <v>0.02428569631</v>
      </c>
      <c r="S20" s="76">
        <f t="shared" si="17"/>
        <v>0.02898553415</v>
      </c>
      <c r="T20" s="76">
        <f t="shared" si="17"/>
        <v>0</v>
      </c>
      <c r="U20" s="76">
        <f t="shared" si="17"/>
        <v>0.00595240682</v>
      </c>
      <c r="V20" s="76">
        <f t="shared" si="17"/>
        <v>0.036580941</v>
      </c>
      <c r="W20" s="12"/>
      <c r="X20" s="12"/>
      <c r="Y20" s="12"/>
      <c r="Z20" s="12"/>
    </row>
    <row r="21" ht="15.75" customHeight="1">
      <c r="A21" s="12"/>
      <c r="B21" s="37"/>
      <c r="C21" s="38"/>
      <c r="D21" s="38"/>
      <c r="E21" s="38"/>
      <c r="F21" s="38"/>
      <c r="G21" s="39"/>
      <c r="I21" s="40" t="s">
        <v>86</v>
      </c>
      <c r="J21" s="44">
        <v>270085.4</v>
      </c>
      <c r="K21" s="44">
        <v>238876.32</v>
      </c>
      <c r="L21" s="44">
        <v>212114.11</v>
      </c>
      <c r="M21" s="44">
        <v>193436.3</v>
      </c>
      <c r="N21" s="125">
        <v>153305.99</v>
      </c>
      <c r="O21" s="122"/>
      <c r="P21" s="74" t="s">
        <v>87</v>
      </c>
      <c r="Q21" s="120" t="s">
        <v>88</v>
      </c>
      <c r="R21" s="76">
        <f t="shared" ref="R21:V21" si="18">C42/C40</f>
        <v>1.221811073</v>
      </c>
      <c r="S21" s="76">
        <f t="shared" si="18"/>
        <v>1.044979555</v>
      </c>
      <c r="T21" s="76">
        <f t="shared" si="18"/>
        <v>0.8719745742</v>
      </c>
      <c r="U21" s="76">
        <f t="shared" si="18"/>
        <v>0.7318348144</v>
      </c>
      <c r="V21" s="76">
        <f t="shared" si="18"/>
        <v>1.252878858</v>
      </c>
      <c r="W21" s="12"/>
      <c r="X21" s="12"/>
      <c r="Y21" s="12"/>
      <c r="Z21" s="12"/>
    </row>
    <row r="22" ht="15.75" customHeight="1">
      <c r="A22" s="12"/>
      <c r="B22" s="40"/>
      <c r="C22" s="41" t="s">
        <v>33</v>
      </c>
      <c r="D22" s="41" t="s">
        <v>33</v>
      </c>
      <c r="E22" s="41" t="s">
        <v>33</v>
      </c>
      <c r="F22" s="41" t="s">
        <v>33</v>
      </c>
      <c r="G22" s="42" t="s">
        <v>33</v>
      </c>
      <c r="I22" s="40" t="s">
        <v>89</v>
      </c>
      <c r="J22" s="44">
        <v>72724.34</v>
      </c>
      <c r="K22" s="44">
        <v>58810.54</v>
      </c>
      <c r="L22" s="44">
        <v>47665.25</v>
      </c>
      <c r="M22" s="44">
        <v>36625.0</v>
      </c>
      <c r="N22" s="125">
        <v>27685.37</v>
      </c>
      <c r="O22" s="122"/>
      <c r="P22" s="74" t="s">
        <v>90</v>
      </c>
      <c r="Q22" s="120" t="s">
        <v>91</v>
      </c>
      <c r="R22" s="76">
        <f t="shared" ref="R22:V22" si="19">R12*R5*R10</f>
        <v>0.128842952</v>
      </c>
      <c r="S22" s="76">
        <f t="shared" si="19"/>
        <v>0.1304375352</v>
      </c>
      <c r="T22" s="76">
        <f t="shared" si="19"/>
        <v>0.1184195063</v>
      </c>
      <c r="U22" s="76">
        <f t="shared" si="19"/>
        <v>0.09152791543</v>
      </c>
      <c r="V22" s="76">
        <f t="shared" si="19"/>
        <v>0.1093947509</v>
      </c>
      <c r="W22" s="12"/>
      <c r="X22" s="12"/>
      <c r="Y22" s="12"/>
      <c r="Z22" s="12"/>
    </row>
    <row r="23" ht="15.75" customHeight="1">
      <c r="A23" s="12"/>
      <c r="B23" s="37"/>
      <c r="C23" s="38"/>
      <c r="D23" s="38"/>
      <c r="E23" s="38"/>
      <c r="F23" s="38"/>
      <c r="G23" s="39"/>
      <c r="I23" s="34" t="s">
        <v>92</v>
      </c>
      <c r="J23" s="46">
        <v>197361.06</v>
      </c>
      <c r="K23" s="46">
        <v>180065.78</v>
      </c>
      <c r="L23" s="46">
        <v>164448.86</v>
      </c>
      <c r="M23" s="46">
        <v>156811.3</v>
      </c>
      <c r="N23" s="126">
        <v>125620.62</v>
      </c>
      <c r="O23" s="122"/>
      <c r="P23" s="77"/>
      <c r="Q23" s="77"/>
      <c r="R23" s="77"/>
      <c r="S23" s="77"/>
      <c r="T23" s="77"/>
      <c r="U23" s="77"/>
      <c r="V23" s="77"/>
      <c r="W23" s="12"/>
      <c r="X23" s="12"/>
      <c r="Y23" s="12"/>
      <c r="Z23" s="12"/>
    </row>
    <row r="24" ht="15.75" customHeight="1">
      <c r="A24" s="12"/>
      <c r="B24" s="34" t="s">
        <v>95</v>
      </c>
      <c r="C24" s="46">
        <v>43228.39</v>
      </c>
      <c r="D24" s="46">
        <v>33845.7</v>
      </c>
      <c r="E24" s="46">
        <v>28803.36</v>
      </c>
      <c r="F24" s="46">
        <v>27092.72</v>
      </c>
      <c r="G24" s="47">
        <v>22771.49</v>
      </c>
      <c r="I24" s="40" t="s">
        <v>93</v>
      </c>
      <c r="J24" s="44">
        <v>61788.8</v>
      </c>
      <c r="K24" s="44">
        <v>68697.13</v>
      </c>
      <c r="L24" s="44">
        <v>75438.5</v>
      </c>
      <c r="M24" s="44">
        <v>73359.28</v>
      </c>
      <c r="N24" s="125">
        <v>91206.69</v>
      </c>
      <c r="O24" s="122"/>
      <c r="P24" s="77"/>
      <c r="Q24" s="77"/>
      <c r="R24" s="77"/>
      <c r="S24" s="77"/>
      <c r="T24" s="77"/>
      <c r="U24" s="77"/>
      <c r="V24" s="77"/>
      <c r="W24" s="12"/>
      <c r="X24" s="12"/>
      <c r="Y24" s="12"/>
      <c r="Z24" s="12"/>
    </row>
    <row r="25" ht="15.75" customHeight="1">
      <c r="A25" s="12"/>
      <c r="B25" s="40" t="s">
        <v>97</v>
      </c>
      <c r="C25" s="44">
        <v>46512.64</v>
      </c>
      <c r="D25" s="44">
        <v>38969.83</v>
      </c>
      <c r="E25" s="44">
        <v>33450.75</v>
      </c>
      <c r="F25" s="44">
        <v>34414.0</v>
      </c>
      <c r="G25" s="45">
        <v>20617.15</v>
      </c>
      <c r="I25" s="34" t="s">
        <v>94</v>
      </c>
      <c r="J25" s="46">
        <v>29769.75</v>
      </c>
      <c r="K25" s="46">
        <v>29881.07</v>
      </c>
      <c r="L25" s="46">
        <v>28625.64</v>
      </c>
      <c r="M25" s="46">
        <v>26400.89</v>
      </c>
      <c r="N25" s="126">
        <v>13145.94</v>
      </c>
      <c r="O25" s="122"/>
      <c r="P25" s="77"/>
      <c r="Q25" s="77"/>
      <c r="R25" s="77"/>
      <c r="S25" s="77"/>
      <c r="T25" s="77"/>
      <c r="U25" s="77"/>
      <c r="V25" s="77"/>
      <c r="W25" s="12"/>
      <c r="X25" s="12"/>
      <c r="Y25" s="12"/>
      <c r="Z25" s="12"/>
    </row>
    <row r="26" ht="15.75" customHeight="1">
      <c r="A26" s="12"/>
      <c r="B26" s="40" t="s">
        <v>99</v>
      </c>
      <c r="C26" s="44">
        <v>9979.23</v>
      </c>
      <c r="D26" s="44">
        <v>7350.91</v>
      </c>
      <c r="E26" s="44">
        <v>7459.03</v>
      </c>
      <c r="F26" s="44">
        <v>6781.97</v>
      </c>
      <c r="G26" s="45">
        <v>4716.74</v>
      </c>
      <c r="I26" s="40" t="s">
        <v>96</v>
      </c>
      <c r="J26" s="44">
        <v>13679.75</v>
      </c>
      <c r="K26" s="44">
        <v>9487.21</v>
      </c>
      <c r="L26" s="44">
        <v>9178.94</v>
      </c>
      <c r="M26" s="44">
        <v>10731.86</v>
      </c>
      <c r="N26" s="125">
        <v>7988.02</v>
      </c>
      <c r="O26" s="122"/>
      <c r="P26" s="77"/>
      <c r="Q26" s="77"/>
      <c r="R26" s="77"/>
      <c r="S26" s="77"/>
      <c r="T26" s="77"/>
      <c r="U26" s="77"/>
      <c r="V26" s="77"/>
      <c r="W26" s="12"/>
      <c r="X26" s="12"/>
      <c r="Y26" s="12"/>
      <c r="Z26" s="12"/>
    </row>
    <row r="27" ht="15.75" customHeight="1">
      <c r="A27" s="12"/>
      <c r="B27" s="40" t="s">
        <v>101</v>
      </c>
      <c r="C27" s="44">
        <v>36533.41</v>
      </c>
      <c r="D27" s="44">
        <v>31618.92</v>
      </c>
      <c r="E27" s="44">
        <v>25991.72</v>
      </c>
      <c r="F27" s="44">
        <v>27632.03</v>
      </c>
      <c r="G27" s="45">
        <v>15900.41</v>
      </c>
      <c r="I27" s="40" t="s">
        <v>98</v>
      </c>
      <c r="J27" s="44">
        <v>24741.45</v>
      </c>
      <c r="K27" s="44">
        <v>22293.32</v>
      </c>
      <c r="L27" s="44">
        <v>13701.72</v>
      </c>
      <c r="M27" s="44">
        <v>15668.11</v>
      </c>
      <c r="N27" s="125">
        <v>8433.86</v>
      </c>
      <c r="O27" s="122"/>
      <c r="P27" s="77"/>
      <c r="Q27" s="77"/>
      <c r="R27" s="77"/>
      <c r="S27" s="77"/>
      <c r="T27" s="77"/>
      <c r="U27" s="77"/>
      <c r="V27" s="77"/>
      <c r="W27" s="12"/>
      <c r="X27" s="12"/>
      <c r="Y27" s="12"/>
      <c r="Z27" s="12"/>
    </row>
    <row r="28" ht="15.75" customHeight="1">
      <c r="A28" s="12"/>
      <c r="B28" s="40" t="s">
        <v>103</v>
      </c>
      <c r="C28" s="44">
        <v>13136.71</v>
      </c>
      <c r="D28" s="44">
        <v>11234.14</v>
      </c>
      <c r="E28" s="44">
        <v>10411.8</v>
      </c>
      <c r="F28" s="44">
        <v>8622.85</v>
      </c>
      <c r="G28" s="45">
        <v>7254.36</v>
      </c>
      <c r="I28" s="40" t="s">
        <v>100</v>
      </c>
      <c r="J28" s="44">
        <v>3741.73</v>
      </c>
      <c r="K28" s="44">
        <v>2455.59</v>
      </c>
      <c r="L28" s="44">
        <v>2338.46</v>
      </c>
      <c r="M28" s="44">
        <v>2209.11</v>
      </c>
      <c r="N28" s="125">
        <v>2144.34</v>
      </c>
      <c r="O28" s="122"/>
      <c r="P28" s="77"/>
      <c r="Q28" s="77"/>
      <c r="R28" s="77"/>
      <c r="S28" s="77"/>
      <c r="T28" s="77"/>
      <c r="U28" s="77"/>
      <c r="V28" s="77"/>
      <c r="W28" s="12"/>
      <c r="X28" s="12"/>
      <c r="Y28" s="12"/>
      <c r="Z28" s="12"/>
    </row>
    <row r="29" ht="15.75" customHeight="1">
      <c r="A29" s="12"/>
      <c r="B29" s="40" t="s">
        <v>105</v>
      </c>
      <c r="C29" s="44">
        <v>23396.7</v>
      </c>
      <c r="D29" s="44">
        <v>20384.78</v>
      </c>
      <c r="E29" s="44">
        <v>15579.92</v>
      </c>
      <c r="F29" s="44">
        <v>19009.18</v>
      </c>
      <c r="G29" s="45">
        <v>8646.05</v>
      </c>
      <c r="I29" s="40" t="s">
        <v>102</v>
      </c>
      <c r="J29" s="44">
        <v>42162.93</v>
      </c>
      <c r="K29" s="44">
        <v>34236.12</v>
      </c>
      <c r="L29" s="44">
        <v>25219.12</v>
      </c>
      <c r="M29" s="44">
        <v>28609.08</v>
      </c>
      <c r="N29" s="125">
        <v>18566.22</v>
      </c>
      <c r="O29" s="122"/>
      <c r="P29" s="77"/>
      <c r="Q29" s="77"/>
      <c r="R29" s="77"/>
      <c r="S29" s="77"/>
      <c r="T29" s="77"/>
      <c r="U29" s="77"/>
      <c r="V29" s="77"/>
      <c r="W29" s="12"/>
      <c r="X29" s="12"/>
      <c r="Y29" s="12"/>
      <c r="Z29" s="12"/>
    </row>
    <row r="30" ht="15.75" customHeight="1">
      <c r="A30" s="12"/>
      <c r="B30" s="40" t="s">
        <v>107</v>
      </c>
      <c r="C30" s="44">
        <v>23396.7</v>
      </c>
      <c r="D30" s="44">
        <v>20384.78</v>
      </c>
      <c r="E30" s="44">
        <v>15579.92</v>
      </c>
      <c r="F30" s="44">
        <v>19009.18</v>
      </c>
      <c r="G30" s="45">
        <v>8646.05</v>
      </c>
      <c r="I30" s="40" t="s">
        <v>104</v>
      </c>
      <c r="J30" s="44">
        <v>51304.72</v>
      </c>
      <c r="K30" s="44">
        <v>41616.7</v>
      </c>
      <c r="L30" s="44">
        <v>49487.27</v>
      </c>
      <c r="M30" s="44">
        <v>42486.9</v>
      </c>
      <c r="N30" s="125">
        <v>42338.3</v>
      </c>
      <c r="O30" s="122"/>
      <c r="P30" s="77"/>
      <c r="Q30" s="77"/>
      <c r="R30" s="77"/>
      <c r="S30" s="77"/>
      <c r="T30" s="77"/>
      <c r="U30" s="77"/>
      <c r="V30" s="77"/>
      <c r="W30" s="12"/>
      <c r="X30" s="12"/>
      <c r="Y30" s="12"/>
      <c r="Z30" s="12"/>
    </row>
    <row r="31" ht="15.75" customHeight="1">
      <c r="A31" s="12"/>
      <c r="B31" s="40" t="s">
        <v>109</v>
      </c>
      <c r="C31" s="44">
        <v>6279.27</v>
      </c>
      <c r="D31" s="44">
        <v>4366.39</v>
      </c>
      <c r="E31" s="44">
        <v>1925.39</v>
      </c>
      <c r="F31" s="44">
        <v>9181.95</v>
      </c>
      <c r="G31" s="45">
        <v>-2918.71</v>
      </c>
      <c r="I31" s="40" t="s">
        <v>106</v>
      </c>
      <c r="J31" s="44">
        <v>93467.65</v>
      </c>
      <c r="K31" s="44">
        <v>75852.82</v>
      </c>
      <c r="L31" s="44">
        <v>74706.39</v>
      </c>
      <c r="M31" s="44">
        <v>71095.98</v>
      </c>
      <c r="N31" s="125">
        <v>60904.52</v>
      </c>
      <c r="O31" s="122"/>
      <c r="P31" s="77"/>
      <c r="Q31" s="77"/>
      <c r="R31" s="77"/>
      <c r="S31" s="77"/>
      <c r="T31" s="77"/>
      <c r="U31" s="77"/>
      <c r="V31" s="77"/>
      <c r="W31" s="12"/>
      <c r="X31" s="12"/>
      <c r="Y31" s="12"/>
      <c r="Z31" s="12"/>
    </row>
    <row r="32" ht="15.75" customHeight="1">
      <c r="A32" s="12"/>
      <c r="B32" s="34" t="s">
        <v>111</v>
      </c>
      <c r="C32" s="46">
        <v>17196.73</v>
      </c>
      <c r="D32" s="46">
        <v>16111.42</v>
      </c>
      <c r="E32" s="46">
        <v>13769.52</v>
      </c>
      <c r="F32" s="46">
        <v>10112.81</v>
      </c>
      <c r="G32" s="47">
        <v>11749.89</v>
      </c>
      <c r="I32" s="40" t="s">
        <v>108</v>
      </c>
      <c r="J32" s="44">
        <v>49301.7</v>
      </c>
      <c r="K32" s="44">
        <v>47256.87</v>
      </c>
      <c r="L32" s="44">
        <v>52042.24</v>
      </c>
      <c r="M32" s="44">
        <v>46044.04</v>
      </c>
      <c r="N32" s="125">
        <v>40839.52</v>
      </c>
      <c r="O32" s="122"/>
      <c r="P32" s="77"/>
      <c r="Q32" s="77"/>
      <c r="R32" s="77"/>
      <c r="S32" s="77"/>
      <c r="T32" s="77"/>
      <c r="U32" s="77"/>
      <c r="V32" s="77"/>
      <c r="W32" s="12"/>
      <c r="X32" s="12"/>
      <c r="Y32" s="12"/>
      <c r="Z32" s="12"/>
    </row>
    <row r="33" ht="15.75" customHeight="1">
      <c r="A33" s="12"/>
      <c r="B33" s="40" t="s">
        <v>113</v>
      </c>
      <c r="C33" s="44">
        <v>120292.78</v>
      </c>
      <c r="D33" s="44">
        <v>82148.18</v>
      </c>
      <c r="E33" s="44">
        <v>70312.46</v>
      </c>
      <c r="F33" s="44">
        <v>70528.81</v>
      </c>
      <c r="G33" s="45">
        <v>67449.63</v>
      </c>
      <c r="I33" s="40" t="s">
        <v>110</v>
      </c>
      <c r="J33" s="44">
        <v>9198.03</v>
      </c>
      <c r="K33" s="44">
        <v>8541.78</v>
      </c>
      <c r="L33" s="44">
        <v>8102.3</v>
      </c>
      <c r="M33" s="44">
        <v>7465.91</v>
      </c>
      <c r="N33" s="125">
        <v>7429.1</v>
      </c>
      <c r="O33" s="122"/>
      <c r="P33" s="77"/>
      <c r="Q33" s="77"/>
      <c r="R33" s="77"/>
      <c r="S33" s="77"/>
      <c r="T33" s="77"/>
      <c r="U33" s="77"/>
      <c r="V33" s="77"/>
      <c r="W33" s="12"/>
      <c r="X33" s="12"/>
      <c r="Y33" s="12"/>
      <c r="Z33" s="12"/>
    </row>
    <row r="34" ht="15.75" customHeight="1">
      <c r="A34" s="12"/>
      <c r="B34" s="40" t="s">
        <v>115</v>
      </c>
      <c r="C34" s="44">
        <v>4121.08</v>
      </c>
      <c r="D34" s="44">
        <v>3878.67</v>
      </c>
      <c r="E34" s="41">
        <v>0.0</v>
      </c>
      <c r="F34" s="41">
        <v>494.73</v>
      </c>
      <c r="G34" s="45">
        <v>4922.55</v>
      </c>
      <c r="I34" s="40" t="s">
        <v>112</v>
      </c>
      <c r="J34" s="44">
        <v>58499.73</v>
      </c>
      <c r="K34" s="44">
        <v>55798.65</v>
      </c>
      <c r="L34" s="44">
        <v>60144.54</v>
      </c>
      <c r="M34" s="44">
        <v>53509.95</v>
      </c>
      <c r="N34" s="125">
        <v>48268.62</v>
      </c>
      <c r="O34" s="122"/>
      <c r="P34" s="77"/>
      <c r="Q34" s="77"/>
      <c r="R34" s="77"/>
      <c r="S34" s="77"/>
      <c r="T34" s="77"/>
      <c r="U34" s="77"/>
      <c r="V34" s="77"/>
      <c r="W34" s="12"/>
      <c r="X34" s="12"/>
      <c r="Y34" s="12"/>
      <c r="Z34" s="12"/>
    </row>
    <row r="35" ht="15.75" customHeight="1">
      <c r="A35" s="12"/>
      <c r="B35" s="40" t="s">
        <v>117</v>
      </c>
      <c r="C35" s="41">
        <v>0.0</v>
      </c>
      <c r="D35" s="41">
        <v>0.0</v>
      </c>
      <c r="E35" s="41">
        <v>0.0</v>
      </c>
      <c r="F35" s="41">
        <v>101.18</v>
      </c>
      <c r="G35" s="45">
        <v>1000.49</v>
      </c>
      <c r="I35" s="34" t="s">
        <v>114</v>
      </c>
      <c r="J35" s="46">
        <v>34967.92</v>
      </c>
      <c r="K35" s="46">
        <v>20054.17</v>
      </c>
      <c r="L35" s="46">
        <v>14561.85</v>
      </c>
      <c r="M35" s="46">
        <v>17586.03</v>
      </c>
      <c r="N35" s="126">
        <v>12635.9</v>
      </c>
      <c r="O35" s="122"/>
      <c r="P35" s="77"/>
      <c r="Q35" s="77"/>
      <c r="R35" s="77"/>
      <c r="S35" s="77"/>
      <c r="T35" s="77"/>
      <c r="U35" s="77"/>
      <c r="V35" s="77"/>
      <c r="W35" s="12"/>
      <c r="X35" s="12"/>
      <c r="Y35" s="12"/>
      <c r="Z35" s="12"/>
    </row>
    <row r="36" ht="15.75" customHeight="1">
      <c r="A36" s="12"/>
      <c r="B36" s="43" t="s">
        <v>118</v>
      </c>
      <c r="C36" s="18"/>
      <c r="D36" s="35"/>
      <c r="E36" s="35"/>
      <c r="F36" s="35"/>
      <c r="G36" s="36"/>
      <c r="I36" s="34" t="s">
        <v>116</v>
      </c>
      <c r="J36" s="46">
        <v>323887.53</v>
      </c>
      <c r="K36" s="46">
        <v>298698.15</v>
      </c>
      <c r="L36" s="46">
        <v>283074.85</v>
      </c>
      <c r="M36" s="46">
        <v>274157.5</v>
      </c>
      <c r="N36" s="126">
        <v>242609.15</v>
      </c>
      <c r="O36" s="122"/>
      <c r="P36" s="77"/>
      <c r="Q36" s="77"/>
      <c r="R36" s="77"/>
      <c r="S36" s="77"/>
      <c r="T36" s="77"/>
      <c r="U36" s="77"/>
      <c r="V36" s="77"/>
      <c r="W36" s="12"/>
      <c r="X36" s="12"/>
      <c r="Y36" s="12"/>
      <c r="Z36" s="12"/>
    </row>
    <row r="37" ht="15.75" customHeight="1">
      <c r="A37" s="12"/>
      <c r="B37" s="40" t="s">
        <v>120</v>
      </c>
      <c r="C37" s="44">
        <v>96966.66</v>
      </c>
      <c r="D37" s="44">
        <v>96966.66</v>
      </c>
      <c r="E37" s="44">
        <v>96966.66</v>
      </c>
      <c r="F37" s="44">
        <v>98945.57</v>
      </c>
      <c r="G37" s="45">
        <v>98945.57</v>
      </c>
      <c r="I37" s="127"/>
      <c r="J37" s="128"/>
      <c r="K37" s="128"/>
      <c r="L37" s="128"/>
      <c r="M37" s="128"/>
      <c r="N37" s="129"/>
      <c r="O37" s="122"/>
      <c r="P37" s="77"/>
      <c r="Q37" s="77"/>
      <c r="R37" s="77"/>
      <c r="S37" s="77"/>
      <c r="T37" s="77"/>
      <c r="U37" s="77"/>
      <c r="V37" s="77"/>
      <c r="W37" s="12"/>
      <c r="X37" s="12"/>
      <c r="Y37" s="12"/>
      <c r="Z37" s="12"/>
    </row>
    <row r="38" ht="15.75" customHeight="1">
      <c r="A38" s="12"/>
      <c r="B38" s="34" t="s">
        <v>122</v>
      </c>
      <c r="C38" s="35">
        <v>17.73</v>
      </c>
      <c r="D38" s="35">
        <v>16.62</v>
      </c>
      <c r="E38" s="35">
        <v>14.2</v>
      </c>
      <c r="F38" s="35">
        <v>10.22</v>
      </c>
      <c r="G38" s="36">
        <v>11.88</v>
      </c>
      <c r="I38" s="40" t="s">
        <v>119</v>
      </c>
      <c r="J38" s="44">
        <v>65555.58</v>
      </c>
      <c r="K38" s="44">
        <v>67976.31</v>
      </c>
      <c r="L38" s="44">
        <v>127550.29</v>
      </c>
      <c r="M38" s="44">
        <v>112448.68</v>
      </c>
      <c r="N38" s="125">
        <v>97370.02</v>
      </c>
      <c r="O38" s="122"/>
      <c r="P38" s="77"/>
      <c r="Q38" s="77"/>
      <c r="R38" s="77"/>
      <c r="S38" s="77"/>
      <c r="T38" s="77"/>
      <c r="U38" s="77"/>
      <c r="V38" s="77"/>
      <c r="W38" s="12"/>
      <c r="X38" s="12"/>
      <c r="Y38" s="12"/>
      <c r="Z38" s="12"/>
    </row>
    <row r="39" ht="15.75" customHeight="1">
      <c r="A39" s="12"/>
      <c r="B39" s="40" t="s">
        <v>123</v>
      </c>
      <c r="C39" s="41">
        <v>72.5</v>
      </c>
      <c r="D39" s="41">
        <v>70.0</v>
      </c>
      <c r="E39" s="41">
        <v>61.5</v>
      </c>
      <c r="F39" s="41">
        <v>31.5</v>
      </c>
      <c r="G39" s="42">
        <v>60.8</v>
      </c>
      <c r="I39" s="40" t="s">
        <v>121</v>
      </c>
      <c r="J39" s="41">
        <v>143.23</v>
      </c>
      <c r="K39" s="41">
        <v>132.06</v>
      </c>
      <c r="L39" s="41">
        <v>122.71</v>
      </c>
      <c r="M39" s="41">
        <v>114.78</v>
      </c>
      <c r="N39" s="124">
        <v>108.55</v>
      </c>
      <c r="O39" s="122"/>
      <c r="P39" s="77"/>
      <c r="Q39" s="77"/>
      <c r="R39" s="77"/>
      <c r="S39" s="77"/>
      <c r="T39" s="77"/>
      <c r="U39" s="77"/>
      <c r="V39" s="77"/>
      <c r="W39" s="12"/>
      <c r="X39" s="12"/>
      <c r="Y39" s="12"/>
      <c r="Z39" s="12"/>
    </row>
    <row r="40" ht="15.75" customHeight="1">
      <c r="A40" s="12"/>
      <c r="B40" s="52" t="s">
        <v>121</v>
      </c>
      <c r="C40" s="54">
        <v>143.23</v>
      </c>
      <c r="D40" s="54">
        <v>132.06</v>
      </c>
      <c r="E40" s="54">
        <v>122.71</v>
      </c>
      <c r="F40" s="54">
        <v>114.78</v>
      </c>
      <c r="G40" s="55">
        <v>108.55</v>
      </c>
      <c r="I40" s="56"/>
      <c r="J40" s="57"/>
      <c r="K40" s="57"/>
      <c r="L40" s="57"/>
      <c r="M40" s="57"/>
      <c r="N40" s="130"/>
      <c r="O40" s="122"/>
      <c r="P40" s="77"/>
      <c r="Q40" s="77"/>
      <c r="R40" s="77"/>
      <c r="S40" s="77"/>
      <c r="T40" s="77"/>
      <c r="U40" s="77"/>
      <c r="V40" s="77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77"/>
      <c r="Q41" s="77"/>
      <c r="R41" s="77"/>
      <c r="S41" s="77"/>
      <c r="T41" s="77"/>
      <c r="U41" s="77"/>
      <c r="V41" s="77"/>
      <c r="W41" s="12"/>
      <c r="X41" s="12"/>
      <c r="Y41" s="12"/>
      <c r="Z41" s="12"/>
    </row>
    <row r="42" ht="15.75" customHeight="1">
      <c r="A42" s="12"/>
      <c r="B42" s="12" t="s">
        <v>132</v>
      </c>
      <c r="C42" s="12">
        <v>175.0</v>
      </c>
      <c r="D42" s="12">
        <v>138.0</v>
      </c>
      <c r="E42" s="12">
        <v>107.0</v>
      </c>
      <c r="F42" s="12">
        <v>84.0</v>
      </c>
      <c r="G42" s="12">
        <v>136.0</v>
      </c>
      <c r="H42" s="12"/>
      <c r="I42" s="12"/>
      <c r="J42" s="12"/>
      <c r="K42" s="12"/>
      <c r="L42" s="12"/>
      <c r="M42" s="12"/>
      <c r="N42" s="12"/>
      <c r="O42" s="12"/>
      <c r="P42" s="77"/>
      <c r="Q42" s="77"/>
      <c r="R42" s="77"/>
      <c r="S42" s="77"/>
      <c r="T42" s="77"/>
      <c r="U42" s="77"/>
      <c r="V42" s="77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77"/>
      <c r="Q43" s="77"/>
      <c r="R43" s="77"/>
      <c r="S43" s="77"/>
      <c r="T43" s="77"/>
      <c r="U43" s="77"/>
      <c r="V43" s="77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77"/>
      <c r="Q44" s="77"/>
      <c r="R44" s="77"/>
      <c r="S44" s="77"/>
      <c r="T44" s="77"/>
      <c r="U44" s="77"/>
      <c r="V44" s="77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77"/>
      <c r="Q45" s="77"/>
      <c r="R45" s="77"/>
      <c r="S45" s="77"/>
      <c r="T45" s="77"/>
      <c r="U45" s="77"/>
      <c r="V45" s="77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77"/>
      <c r="Q46" s="77"/>
      <c r="R46" s="77"/>
      <c r="S46" s="77"/>
      <c r="T46" s="77"/>
      <c r="U46" s="77"/>
      <c r="V46" s="77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77"/>
      <c r="Q47" s="77"/>
      <c r="R47" s="77"/>
      <c r="S47" s="77"/>
      <c r="T47" s="77"/>
      <c r="U47" s="77"/>
      <c r="V47" s="77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77"/>
      <c r="Q48" s="77"/>
      <c r="R48" s="77"/>
      <c r="S48" s="77"/>
      <c r="T48" s="77"/>
      <c r="U48" s="77"/>
      <c r="V48" s="77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77"/>
      <c r="Q49" s="77"/>
      <c r="R49" s="77"/>
      <c r="S49" s="77"/>
      <c r="T49" s="77"/>
      <c r="U49" s="77"/>
      <c r="V49" s="77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77"/>
      <c r="Q50" s="77"/>
      <c r="R50" s="77"/>
      <c r="S50" s="77"/>
      <c r="T50" s="77"/>
      <c r="U50" s="77"/>
      <c r="V50" s="77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77"/>
      <c r="Q51" s="77"/>
      <c r="R51" s="77"/>
      <c r="S51" s="77"/>
      <c r="T51" s="77"/>
      <c r="U51" s="77"/>
      <c r="V51" s="77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77"/>
      <c r="Q52" s="77"/>
      <c r="R52" s="77"/>
      <c r="S52" s="77"/>
      <c r="T52" s="77"/>
      <c r="U52" s="77"/>
      <c r="V52" s="77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77"/>
      <c r="Q53" s="77"/>
      <c r="R53" s="77"/>
      <c r="S53" s="77"/>
      <c r="T53" s="77"/>
      <c r="U53" s="77"/>
      <c r="V53" s="77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77"/>
      <c r="Q54" s="77"/>
      <c r="R54" s="77"/>
      <c r="S54" s="77"/>
      <c r="T54" s="77"/>
      <c r="U54" s="77"/>
      <c r="V54" s="77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77"/>
      <c r="Q55" s="77"/>
      <c r="R55" s="77"/>
      <c r="S55" s="77"/>
      <c r="T55" s="77"/>
      <c r="U55" s="77"/>
      <c r="V55" s="77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77"/>
      <c r="Q56" s="77"/>
      <c r="R56" s="77"/>
      <c r="S56" s="77"/>
      <c r="T56" s="77"/>
      <c r="U56" s="77"/>
      <c r="V56" s="77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77"/>
      <c r="Q57" s="77"/>
      <c r="R57" s="77"/>
      <c r="S57" s="77"/>
      <c r="T57" s="77"/>
      <c r="U57" s="77"/>
      <c r="V57" s="77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77"/>
      <c r="Q58" s="77"/>
      <c r="R58" s="77"/>
      <c r="S58" s="77"/>
      <c r="T58" s="77"/>
      <c r="U58" s="77"/>
      <c r="V58" s="77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77"/>
      <c r="Q59" s="77"/>
      <c r="R59" s="77"/>
      <c r="S59" s="77"/>
      <c r="T59" s="77"/>
      <c r="U59" s="77"/>
      <c r="V59" s="77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77"/>
      <c r="Q60" s="77"/>
      <c r="R60" s="77"/>
      <c r="S60" s="77"/>
      <c r="T60" s="77"/>
      <c r="U60" s="77"/>
      <c r="V60" s="77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77"/>
      <c r="Q61" s="77"/>
      <c r="R61" s="77"/>
      <c r="S61" s="77"/>
      <c r="T61" s="77"/>
      <c r="U61" s="77"/>
      <c r="V61" s="77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77"/>
      <c r="Q62" s="77"/>
      <c r="R62" s="77"/>
      <c r="S62" s="77"/>
      <c r="T62" s="77"/>
      <c r="U62" s="77"/>
      <c r="V62" s="77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77"/>
      <c r="Q63" s="77"/>
      <c r="R63" s="77"/>
      <c r="S63" s="77"/>
      <c r="T63" s="77"/>
      <c r="U63" s="77"/>
      <c r="V63" s="77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77"/>
      <c r="Q64" s="77"/>
      <c r="R64" s="77"/>
      <c r="S64" s="77"/>
      <c r="T64" s="77"/>
      <c r="U64" s="77"/>
      <c r="V64" s="77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77"/>
      <c r="Q65" s="77"/>
      <c r="R65" s="77"/>
      <c r="S65" s="77"/>
      <c r="T65" s="77"/>
      <c r="U65" s="77"/>
      <c r="V65" s="77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77"/>
      <c r="Q66" s="77"/>
      <c r="R66" s="77"/>
      <c r="S66" s="77"/>
      <c r="T66" s="77"/>
      <c r="U66" s="77"/>
      <c r="V66" s="77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77"/>
      <c r="Q67" s="77"/>
      <c r="R67" s="77"/>
      <c r="S67" s="77"/>
      <c r="T67" s="77"/>
      <c r="U67" s="77"/>
      <c r="V67" s="77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77"/>
      <c r="Q68" s="77"/>
      <c r="R68" s="77"/>
      <c r="S68" s="77"/>
      <c r="T68" s="77"/>
      <c r="U68" s="77"/>
      <c r="V68" s="77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77"/>
      <c r="Q69" s="77"/>
      <c r="R69" s="77"/>
      <c r="S69" s="77"/>
      <c r="T69" s="77"/>
      <c r="U69" s="77"/>
      <c r="V69" s="77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77"/>
      <c r="Q70" s="77"/>
      <c r="R70" s="77"/>
      <c r="S70" s="77"/>
      <c r="T70" s="77"/>
      <c r="U70" s="77"/>
      <c r="V70" s="77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77"/>
      <c r="Q71" s="77"/>
      <c r="R71" s="77"/>
      <c r="S71" s="77"/>
      <c r="T71" s="77"/>
      <c r="U71" s="77"/>
      <c r="V71" s="77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77"/>
      <c r="Q72" s="77"/>
      <c r="R72" s="77"/>
      <c r="S72" s="77"/>
      <c r="T72" s="77"/>
      <c r="U72" s="77"/>
      <c r="V72" s="77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77"/>
      <c r="Q73" s="77"/>
      <c r="R73" s="77"/>
      <c r="S73" s="77"/>
      <c r="T73" s="77"/>
      <c r="U73" s="77"/>
      <c r="V73" s="77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77"/>
      <c r="Q74" s="77"/>
      <c r="R74" s="77"/>
      <c r="S74" s="77"/>
      <c r="T74" s="77"/>
      <c r="U74" s="77"/>
      <c r="V74" s="77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77"/>
      <c r="Q75" s="77"/>
      <c r="R75" s="77"/>
      <c r="S75" s="77"/>
      <c r="T75" s="77"/>
      <c r="U75" s="77"/>
      <c r="V75" s="77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77"/>
      <c r="Q76" s="77"/>
      <c r="R76" s="77"/>
      <c r="S76" s="77"/>
      <c r="T76" s="77"/>
      <c r="U76" s="77"/>
      <c r="V76" s="77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77"/>
      <c r="Q77" s="77"/>
      <c r="R77" s="77"/>
      <c r="S77" s="77"/>
      <c r="T77" s="77"/>
      <c r="U77" s="77"/>
      <c r="V77" s="77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77"/>
      <c r="Q78" s="77"/>
      <c r="R78" s="77"/>
      <c r="S78" s="77"/>
      <c r="T78" s="77"/>
      <c r="U78" s="77"/>
      <c r="V78" s="77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77"/>
      <c r="Q79" s="77"/>
      <c r="R79" s="77"/>
      <c r="S79" s="77"/>
      <c r="T79" s="77"/>
      <c r="U79" s="77"/>
      <c r="V79" s="77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77"/>
      <c r="Q80" s="77"/>
      <c r="R80" s="77"/>
      <c r="S80" s="77"/>
      <c r="T80" s="77"/>
      <c r="U80" s="77"/>
      <c r="V80" s="77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77"/>
      <c r="Q81" s="77"/>
      <c r="R81" s="77"/>
      <c r="S81" s="77"/>
      <c r="T81" s="77"/>
      <c r="U81" s="77"/>
      <c r="V81" s="77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77"/>
      <c r="Q82" s="77"/>
      <c r="R82" s="77"/>
      <c r="S82" s="77"/>
      <c r="T82" s="77"/>
      <c r="U82" s="77"/>
      <c r="V82" s="77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77"/>
      <c r="Q83" s="77"/>
      <c r="R83" s="77"/>
      <c r="S83" s="77"/>
      <c r="T83" s="77"/>
      <c r="U83" s="77"/>
      <c r="V83" s="77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77"/>
      <c r="Q84" s="77"/>
      <c r="R84" s="77"/>
      <c r="S84" s="77"/>
      <c r="T84" s="77"/>
      <c r="U84" s="77"/>
      <c r="V84" s="77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77"/>
      <c r="Q85" s="77"/>
      <c r="R85" s="77"/>
      <c r="S85" s="77"/>
      <c r="T85" s="77"/>
      <c r="U85" s="77"/>
      <c r="V85" s="77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77"/>
      <c r="Q86" s="77"/>
      <c r="R86" s="77"/>
      <c r="S86" s="77"/>
      <c r="T86" s="77"/>
      <c r="U86" s="77"/>
      <c r="V86" s="77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77"/>
      <c r="Q87" s="77"/>
      <c r="R87" s="77"/>
      <c r="S87" s="77"/>
      <c r="T87" s="77"/>
      <c r="U87" s="77"/>
      <c r="V87" s="77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77"/>
      <c r="Q88" s="77"/>
      <c r="R88" s="77"/>
      <c r="S88" s="77"/>
      <c r="T88" s="77"/>
      <c r="U88" s="77"/>
      <c r="V88" s="77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77"/>
      <c r="Q89" s="77"/>
      <c r="R89" s="77"/>
      <c r="S89" s="77"/>
      <c r="T89" s="77"/>
      <c r="U89" s="77"/>
      <c r="V89" s="77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77"/>
      <c r="Q90" s="77"/>
      <c r="R90" s="77"/>
      <c r="S90" s="77"/>
      <c r="T90" s="77"/>
      <c r="U90" s="77"/>
      <c r="V90" s="77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77"/>
      <c r="Q91" s="77"/>
      <c r="R91" s="77"/>
      <c r="S91" s="77"/>
      <c r="T91" s="77"/>
      <c r="U91" s="77"/>
      <c r="V91" s="77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77"/>
      <c r="Q92" s="77"/>
      <c r="R92" s="77"/>
      <c r="S92" s="77"/>
      <c r="T92" s="77"/>
      <c r="U92" s="77"/>
      <c r="V92" s="77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77"/>
      <c r="Q93" s="77"/>
      <c r="R93" s="77"/>
      <c r="S93" s="77"/>
      <c r="T93" s="77"/>
      <c r="U93" s="77"/>
      <c r="V93" s="77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77"/>
      <c r="Q94" s="77"/>
      <c r="R94" s="77"/>
      <c r="S94" s="77"/>
      <c r="T94" s="77"/>
      <c r="U94" s="77"/>
      <c r="V94" s="77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77"/>
      <c r="Q95" s="77"/>
      <c r="R95" s="77"/>
      <c r="S95" s="77"/>
      <c r="T95" s="77"/>
      <c r="U95" s="77"/>
      <c r="V95" s="77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77"/>
      <c r="Q96" s="77"/>
      <c r="R96" s="77"/>
      <c r="S96" s="77"/>
      <c r="T96" s="77"/>
      <c r="U96" s="77"/>
      <c r="V96" s="77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77"/>
      <c r="Q97" s="77"/>
      <c r="R97" s="77"/>
      <c r="S97" s="77"/>
      <c r="T97" s="77"/>
      <c r="U97" s="77"/>
      <c r="V97" s="77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77"/>
      <c r="Q98" s="77"/>
      <c r="R98" s="77"/>
      <c r="S98" s="77"/>
      <c r="T98" s="77"/>
      <c r="U98" s="77"/>
      <c r="V98" s="77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77"/>
      <c r="Q99" s="77"/>
      <c r="R99" s="77"/>
      <c r="S99" s="77"/>
      <c r="T99" s="77"/>
      <c r="U99" s="77"/>
      <c r="V99" s="77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77"/>
      <c r="Q100" s="77"/>
      <c r="R100" s="77"/>
      <c r="S100" s="77"/>
      <c r="T100" s="77"/>
      <c r="U100" s="77"/>
      <c r="V100" s="77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77"/>
      <c r="Q101" s="77"/>
      <c r="R101" s="77"/>
      <c r="S101" s="77"/>
      <c r="T101" s="77"/>
      <c r="U101" s="77"/>
      <c r="V101" s="77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77"/>
      <c r="Q102" s="77"/>
      <c r="R102" s="77"/>
      <c r="S102" s="77"/>
      <c r="T102" s="77"/>
      <c r="U102" s="77"/>
      <c r="V102" s="77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77"/>
      <c r="Q103" s="77"/>
      <c r="R103" s="77"/>
      <c r="S103" s="77"/>
      <c r="T103" s="77"/>
      <c r="U103" s="77"/>
      <c r="V103" s="77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77"/>
      <c r="Q104" s="77"/>
      <c r="R104" s="77"/>
      <c r="S104" s="77"/>
      <c r="T104" s="77"/>
      <c r="U104" s="77"/>
      <c r="V104" s="77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77"/>
      <c r="Q105" s="77"/>
      <c r="R105" s="77"/>
      <c r="S105" s="77"/>
      <c r="T105" s="77"/>
      <c r="U105" s="77"/>
      <c r="V105" s="77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77"/>
      <c r="Q106" s="77"/>
      <c r="R106" s="77"/>
      <c r="S106" s="77"/>
      <c r="T106" s="77"/>
      <c r="U106" s="77"/>
      <c r="V106" s="77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77"/>
      <c r="Q107" s="77"/>
      <c r="R107" s="77"/>
      <c r="S107" s="77"/>
      <c r="T107" s="77"/>
      <c r="U107" s="77"/>
      <c r="V107" s="77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77"/>
      <c r="Q108" s="77"/>
      <c r="R108" s="77"/>
      <c r="S108" s="77"/>
      <c r="T108" s="77"/>
      <c r="U108" s="77"/>
      <c r="V108" s="77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77"/>
      <c r="Q109" s="77"/>
      <c r="R109" s="77"/>
      <c r="S109" s="77"/>
      <c r="T109" s="77"/>
      <c r="U109" s="77"/>
      <c r="V109" s="77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77"/>
      <c r="Q110" s="77"/>
      <c r="R110" s="77"/>
      <c r="S110" s="77"/>
      <c r="T110" s="77"/>
      <c r="U110" s="77"/>
      <c r="V110" s="77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77"/>
      <c r="Q111" s="77"/>
      <c r="R111" s="77"/>
      <c r="S111" s="77"/>
      <c r="T111" s="77"/>
      <c r="U111" s="77"/>
      <c r="V111" s="77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77"/>
      <c r="Q112" s="77"/>
      <c r="R112" s="77"/>
      <c r="S112" s="77"/>
      <c r="T112" s="77"/>
      <c r="U112" s="77"/>
      <c r="V112" s="77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77"/>
      <c r="Q113" s="77"/>
      <c r="R113" s="77"/>
      <c r="S113" s="77"/>
      <c r="T113" s="77"/>
      <c r="U113" s="77"/>
      <c r="V113" s="77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77"/>
      <c r="Q114" s="77"/>
      <c r="R114" s="77"/>
      <c r="S114" s="77"/>
      <c r="T114" s="77"/>
      <c r="U114" s="77"/>
      <c r="V114" s="77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77"/>
      <c r="Q115" s="77"/>
      <c r="R115" s="77"/>
      <c r="S115" s="77"/>
      <c r="T115" s="77"/>
      <c r="U115" s="77"/>
      <c r="V115" s="77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77"/>
      <c r="Q116" s="77"/>
      <c r="R116" s="77"/>
      <c r="S116" s="77"/>
      <c r="T116" s="77"/>
      <c r="U116" s="77"/>
      <c r="V116" s="77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77"/>
      <c r="Q117" s="77"/>
      <c r="R117" s="77"/>
      <c r="S117" s="77"/>
      <c r="T117" s="77"/>
      <c r="U117" s="77"/>
      <c r="V117" s="77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77"/>
      <c r="Q118" s="77"/>
      <c r="R118" s="77"/>
      <c r="S118" s="77"/>
      <c r="T118" s="77"/>
      <c r="U118" s="77"/>
      <c r="V118" s="77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77"/>
      <c r="Q119" s="77"/>
      <c r="R119" s="77"/>
      <c r="S119" s="77"/>
      <c r="T119" s="77"/>
      <c r="U119" s="77"/>
      <c r="V119" s="77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77"/>
      <c r="Q120" s="77"/>
      <c r="R120" s="77"/>
      <c r="S120" s="77"/>
      <c r="T120" s="77"/>
      <c r="U120" s="77"/>
      <c r="V120" s="77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77"/>
      <c r="Q121" s="77"/>
      <c r="R121" s="77"/>
      <c r="S121" s="77"/>
      <c r="T121" s="77"/>
      <c r="U121" s="77"/>
      <c r="V121" s="77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77"/>
      <c r="Q122" s="77"/>
      <c r="R122" s="77"/>
      <c r="S122" s="77"/>
      <c r="T122" s="77"/>
      <c r="U122" s="77"/>
      <c r="V122" s="77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77"/>
      <c r="Q123" s="77"/>
      <c r="R123" s="77"/>
      <c r="S123" s="77"/>
      <c r="T123" s="77"/>
      <c r="U123" s="77"/>
      <c r="V123" s="77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77"/>
      <c r="Q124" s="77"/>
      <c r="R124" s="77"/>
      <c r="S124" s="77"/>
      <c r="T124" s="77"/>
      <c r="U124" s="77"/>
      <c r="V124" s="77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77"/>
      <c r="Q125" s="77"/>
      <c r="R125" s="77"/>
      <c r="S125" s="77"/>
      <c r="T125" s="77"/>
      <c r="U125" s="77"/>
      <c r="V125" s="77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77"/>
      <c r="Q126" s="77"/>
      <c r="R126" s="77"/>
      <c r="S126" s="77"/>
      <c r="T126" s="77"/>
      <c r="U126" s="77"/>
      <c r="V126" s="77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77"/>
      <c r="Q127" s="77"/>
      <c r="R127" s="77"/>
      <c r="S127" s="77"/>
      <c r="T127" s="77"/>
      <c r="U127" s="77"/>
      <c r="V127" s="77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77"/>
      <c r="Q128" s="77"/>
      <c r="R128" s="77"/>
      <c r="S128" s="77"/>
      <c r="T128" s="77"/>
      <c r="U128" s="77"/>
      <c r="V128" s="77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77"/>
      <c r="Q129" s="77"/>
      <c r="R129" s="77"/>
      <c r="S129" s="77"/>
      <c r="T129" s="77"/>
      <c r="U129" s="77"/>
      <c r="V129" s="77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77"/>
      <c r="Q130" s="77"/>
      <c r="R130" s="77"/>
      <c r="S130" s="77"/>
      <c r="T130" s="77"/>
      <c r="U130" s="77"/>
      <c r="V130" s="77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77"/>
      <c r="Q131" s="77"/>
      <c r="R131" s="77"/>
      <c r="S131" s="77"/>
      <c r="T131" s="77"/>
      <c r="U131" s="77"/>
      <c r="V131" s="77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77"/>
      <c r="Q132" s="77"/>
      <c r="R132" s="77"/>
      <c r="S132" s="77"/>
      <c r="T132" s="77"/>
      <c r="U132" s="77"/>
      <c r="V132" s="77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77"/>
      <c r="Q133" s="77"/>
      <c r="R133" s="77"/>
      <c r="S133" s="77"/>
      <c r="T133" s="77"/>
      <c r="U133" s="77"/>
      <c r="V133" s="77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77"/>
      <c r="Q134" s="77"/>
      <c r="R134" s="77"/>
      <c r="S134" s="77"/>
      <c r="T134" s="77"/>
      <c r="U134" s="77"/>
      <c r="V134" s="77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77"/>
      <c r="Q135" s="77"/>
      <c r="R135" s="77"/>
      <c r="S135" s="77"/>
      <c r="T135" s="77"/>
      <c r="U135" s="77"/>
      <c r="V135" s="77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77"/>
      <c r="Q136" s="77"/>
      <c r="R136" s="77"/>
      <c r="S136" s="77"/>
      <c r="T136" s="77"/>
      <c r="U136" s="77"/>
      <c r="V136" s="77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77"/>
      <c r="Q137" s="77"/>
      <c r="R137" s="77"/>
      <c r="S137" s="77"/>
      <c r="T137" s="77"/>
      <c r="U137" s="77"/>
      <c r="V137" s="77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77"/>
      <c r="Q138" s="77"/>
      <c r="R138" s="77"/>
      <c r="S138" s="77"/>
      <c r="T138" s="77"/>
      <c r="U138" s="77"/>
      <c r="V138" s="77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77"/>
      <c r="Q139" s="77"/>
      <c r="R139" s="77"/>
      <c r="S139" s="77"/>
      <c r="T139" s="77"/>
      <c r="U139" s="77"/>
      <c r="V139" s="77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77"/>
      <c r="Q140" s="77"/>
      <c r="R140" s="77"/>
      <c r="S140" s="77"/>
      <c r="T140" s="77"/>
      <c r="U140" s="77"/>
      <c r="V140" s="77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77"/>
      <c r="Q141" s="77"/>
      <c r="R141" s="77"/>
      <c r="S141" s="77"/>
      <c r="T141" s="77"/>
      <c r="U141" s="77"/>
      <c r="V141" s="77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77"/>
      <c r="Q142" s="77"/>
      <c r="R142" s="77"/>
      <c r="S142" s="77"/>
      <c r="T142" s="77"/>
      <c r="U142" s="77"/>
      <c r="V142" s="77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77"/>
      <c r="Q143" s="77"/>
      <c r="R143" s="77"/>
      <c r="S143" s="77"/>
      <c r="T143" s="77"/>
      <c r="U143" s="77"/>
      <c r="V143" s="77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77"/>
      <c r="Q144" s="77"/>
      <c r="R144" s="77"/>
      <c r="S144" s="77"/>
      <c r="T144" s="77"/>
      <c r="U144" s="77"/>
      <c r="V144" s="77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77"/>
      <c r="Q145" s="77"/>
      <c r="R145" s="77"/>
      <c r="S145" s="77"/>
      <c r="T145" s="77"/>
      <c r="U145" s="77"/>
      <c r="V145" s="77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77"/>
      <c r="Q146" s="77"/>
      <c r="R146" s="77"/>
      <c r="S146" s="77"/>
      <c r="T146" s="77"/>
      <c r="U146" s="77"/>
      <c r="V146" s="77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77"/>
      <c r="Q147" s="77"/>
      <c r="R147" s="77"/>
      <c r="S147" s="77"/>
      <c r="T147" s="77"/>
      <c r="U147" s="77"/>
      <c r="V147" s="77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77"/>
      <c r="Q148" s="77"/>
      <c r="R148" s="77"/>
      <c r="S148" s="77"/>
      <c r="T148" s="77"/>
      <c r="U148" s="77"/>
      <c r="V148" s="77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77"/>
      <c r="Q149" s="77"/>
      <c r="R149" s="77"/>
      <c r="S149" s="77"/>
      <c r="T149" s="77"/>
      <c r="U149" s="77"/>
      <c r="V149" s="77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77"/>
      <c r="Q150" s="77"/>
      <c r="R150" s="77"/>
      <c r="S150" s="77"/>
      <c r="T150" s="77"/>
      <c r="U150" s="77"/>
      <c r="V150" s="77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77"/>
      <c r="Q151" s="77"/>
      <c r="R151" s="77"/>
      <c r="S151" s="77"/>
      <c r="T151" s="77"/>
      <c r="U151" s="77"/>
      <c r="V151" s="77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77"/>
      <c r="Q152" s="77"/>
      <c r="R152" s="77"/>
      <c r="S152" s="77"/>
      <c r="T152" s="77"/>
      <c r="U152" s="77"/>
      <c r="V152" s="77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77"/>
      <c r="Q153" s="77"/>
      <c r="R153" s="77"/>
      <c r="S153" s="77"/>
      <c r="T153" s="77"/>
      <c r="U153" s="77"/>
      <c r="V153" s="77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77"/>
      <c r="Q154" s="77"/>
      <c r="R154" s="77"/>
      <c r="S154" s="77"/>
      <c r="T154" s="77"/>
      <c r="U154" s="77"/>
      <c r="V154" s="77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77"/>
      <c r="Q155" s="77"/>
      <c r="R155" s="77"/>
      <c r="S155" s="77"/>
      <c r="T155" s="77"/>
      <c r="U155" s="77"/>
      <c r="V155" s="77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77"/>
      <c r="Q156" s="77"/>
      <c r="R156" s="77"/>
      <c r="S156" s="77"/>
      <c r="T156" s="77"/>
      <c r="U156" s="77"/>
      <c r="V156" s="77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77"/>
      <c r="Q157" s="77"/>
      <c r="R157" s="77"/>
      <c r="S157" s="77"/>
      <c r="T157" s="77"/>
      <c r="U157" s="77"/>
      <c r="V157" s="77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77"/>
      <c r="Q158" s="77"/>
      <c r="R158" s="77"/>
      <c r="S158" s="77"/>
      <c r="T158" s="77"/>
      <c r="U158" s="77"/>
      <c r="V158" s="77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77"/>
      <c r="Q159" s="77"/>
      <c r="R159" s="77"/>
      <c r="S159" s="77"/>
      <c r="T159" s="77"/>
      <c r="U159" s="77"/>
      <c r="V159" s="77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77"/>
      <c r="Q160" s="77"/>
      <c r="R160" s="77"/>
      <c r="S160" s="77"/>
      <c r="T160" s="77"/>
      <c r="U160" s="77"/>
      <c r="V160" s="77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77"/>
      <c r="Q161" s="77"/>
      <c r="R161" s="77"/>
      <c r="S161" s="77"/>
      <c r="T161" s="77"/>
      <c r="U161" s="77"/>
      <c r="V161" s="77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77"/>
      <c r="Q162" s="77"/>
      <c r="R162" s="77"/>
      <c r="S162" s="77"/>
      <c r="T162" s="77"/>
      <c r="U162" s="77"/>
      <c r="V162" s="77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77"/>
      <c r="Q163" s="77"/>
      <c r="R163" s="77"/>
      <c r="S163" s="77"/>
      <c r="T163" s="77"/>
      <c r="U163" s="77"/>
      <c r="V163" s="77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77"/>
      <c r="Q164" s="77"/>
      <c r="R164" s="77"/>
      <c r="S164" s="77"/>
      <c r="T164" s="77"/>
      <c r="U164" s="77"/>
      <c r="V164" s="77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77"/>
      <c r="Q165" s="77"/>
      <c r="R165" s="77"/>
      <c r="S165" s="77"/>
      <c r="T165" s="77"/>
      <c r="U165" s="77"/>
      <c r="V165" s="77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77"/>
      <c r="Q166" s="77"/>
      <c r="R166" s="77"/>
      <c r="S166" s="77"/>
      <c r="T166" s="77"/>
      <c r="U166" s="77"/>
      <c r="V166" s="77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77"/>
      <c r="Q167" s="77"/>
      <c r="R167" s="77"/>
      <c r="S167" s="77"/>
      <c r="T167" s="77"/>
      <c r="U167" s="77"/>
      <c r="V167" s="77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77"/>
      <c r="Q168" s="77"/>
      <c r="R168" s="77"/>
      <c r="S168" s="77"/>
      <c r="T168" s="77"/>
      <c r="U168" s="77"/>
      <c r="V168" s="77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77"/>
      <c r="Q169" s="77"/>
      <c r="R169" s="77"/>
      <c r="S169" s="77"/>
      <c r="T169" s="77"/>
      <c r="U169" s="77"/>
      <c r="V169" s="77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77"/>
      <c r="Q170" s="77"/>
      <c r="R170" s="77"/>
      <c r="S170" s="77"/>
      <c r="T170" s="77"/>
      <c r="U170" s="77"/>
      <c r="V170" s="77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77"/>
      <c r="Q171" s="77"/>
      <c r="R171" s="77"/>
      <c r="S171" s="77"/>
      <c r="T171" s="77"/>
      <c r="U171" s="77"/>
      <c r="V171" s="77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77"/>
      <c r="Q172" s="77"/>
      <c r="R172" s="77"/>
      <c r="S172" s="77"/>
      <c r="T172" s="77"/>
      <c r="U172" s="77"/>
      <c r="V172" s="77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77"/>
      <c r="Q173" s="77"/>
      <c r="R173" s="77"/>
      <c r="S173" s="77"/>
      <c r="T173" s="77"/>
      <c r="U173" s="77"/>
      <c r="V173" s="77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77"/>
      <c r="Q174" s="77"/>
      <c r="R174" s="77"/>
      <c r="S174" s="77"/>
      <c r="T174" s="77"/>
      <c r="U174" s="77"/>
      <c r="V174" s="77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77"/>
      <c r="Q175" s="77"/>
      <c r="R175" s="77"/>
      <c r="S175" s="77"/>
      <c r="T175" s="77"/>
      <c r="U175" s="77"/>
      <c r="V175" s="77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77"/>
      <c r="Q176" s="77"/>
      <c r="R176" s="77"/>
      <c r="S176" s="77"/>
      <c r="T176" s="77"/>
      <c r="U176" s="77"/>
      <c r="V176" s="77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77"/>
      <c r="Q177" s="77"/>
      <c r="R177" s="77"/>
      <c r="S177" s="77"/>
      <c r="T177" s="77"/>
      <c r="U177" s="77"/>
      <c r="V177" s="77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77"/>
      <c r="Q178" s="77"/>
      <c r="R178" s="77"/>
      <c r="S178" s="77"/>
      <c r="T178" s="77"/>
      <c r="U178" s="77"/>
      <c r="V178" s="77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77"/>
      <c r="Q179" s="77"/>
      <c r="R179" s="77"/>
      <c r="S179" s="77"/>
      <c r="T179" s="77"/>
      <c r="U179" s="77"/>
      <c r="V179" s="77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77"/>
      <c r="Q180" s="77"/>
      <c r="R180" s="77"/>
      <c r="S180" s="77"/>
      <c r="T180" s="77"/>
      <c r="U180" s="77"/>
      <c r="V180" s="77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77"/>
      <c r="Q181" s="77"/>
      <c r="R181" s="77"/>
      <c r="S181" s="77"/>
      <c r="T181" s="77"/>
      <c r="U181" s="77"/>
      <c r="V181" s="77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77"/>
      <c r="Q182" s="77"/>
      <c r="R182" s="77"/>
      <c r="S182" s="77"/>
      <c r="T182" s="77"/>
      <c r="U182" s="77"/>
      <c r="V182" s="77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77"/>
      <c r="Q183" s="77"/>
      <c r="R183" s="77"/>
      <c r="S183" s="77"/>
      <c r="T183" s="77"/>
      <c r="U183" s="77"/>
      <c r="V183" s="77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77"/>
      <c r="Q184" s="77"/>
      <c r="R184" s="77"/>
      <c r="S184" s="77"/>
      <c r="T184" s="77"/>
      <c r="U184" s="77"/>
      <c r="V184" s="77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77"/>
      <c r="Q185" s="77"/>
      <c r="R185" s="77"/>
      <c r="S185" s="77"/>
      <c r="T185" s="77"/>
      <c r="U185" s="77"/>
      <c r="V185" s="77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77"/>
      <c r="Q186" s="77"/>
      <c r="R186" s="77"/>
      <c r="S186" s="77"/>
      <c r="T186" s="77"/>
      <c r="U186" s="77"/>
      <c r="V186" s="77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77"/>
      <c r="Q187" s="77"/>
      <c r="R187" s="77"/>
      <c r="S187" s="77"/>
      <c r="T187" s="77"/>
      <c r="U187" s="77"/>
      <c r="V187" s="77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77"/>
      <c r="Q188" s="77"/>
      <c r="R188" s="77"/>
      <c r="S188" s="77"/>
      <c r="T188" s="77"/>
      <c r="U188" s="77"/>
      <c r="V188" s="77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77"/>
      <c r="Q189" s="77"/>
      <c r="R189" s="77"/>
      <c r="S189" s="77"/>
      <c r="T189" s="77"/>
      <c r="U189" s="77"/>
      <c r="V189" s="77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77"/>
      <c r="Q190" s="77"/>
      <c r="R190" s="77"/>
      <c r="S190" s="77"/>
      <c r="T190" s="77"/>
      <c r="U190" s="77"/>
      <c r="V190" s="77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77"/>
      <c r="Q191" s="77"/>
      <c r="R191" s="77"/>
      <c r="S191" s="77"/>
      <c r="T191" s="77"/>
      <c r="U191" s="77"/>
      <c r="V191" s="77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77"/>
      <c r="Q192" s="77"/>
      <c r="R192" s="77"/>
      <c r="S192" s="77"/>
      <c r="T192" s="77"/>
      <c r="U192" s="77"/>
      <c r="V192" s="77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77"/>
      <c r="Q193" s="77"/>
      <c r="R193" s="77"/>
      <c r="S193" s="77"/>
      <c r="T193" s="77"/>
      <c r="U193" s="77"/>
      <c r="V193" s="77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77"/>
      <c r="Q194" s="77"/>
      <c r="R194" s="77"/>
      <c r="S194" s="77"/>
      <c r="T194" s="77"/>
      <c r="U194" s="77"/>
      <c r="V194" s="77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77"/>
      <c r="Q195" s="77"/>
      <c r="R195" s="77"/>
      <c r="S195" s="77"/>
      <c r="T195" s="77"/>
      <c r="U195" s="77"/>
      <c r="V195" s="77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77"/>
      <c r="Q196" s="77"/>
      <c r="R196" s="77"/>
      <c r="S196" s="77"/>
      <c r="T196" s="77"/>
      <c r="U196" s="77"/>
      <c r="V196" s="77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77"/>
      <c r="Q197" s="77"/>
      <c r="R197" s="77"/>
      <c r="S197" s="77"/>
      <c r="T197" s="77"/>
      <c r="U197" s="77"/>
      <c r="V197" s="77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77"/>
      <c r="Q198" s="77"/>
      <c r="R198" s="77"/>
      <c r="S198" s="77"/>
      <c r="T198" s="77"/>
      <c r="U198" s="77"/>
      <c r="V198" s="77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77"/>
      <c r="Q199" s="77"/>
      <c r="R199" s="77"/>
      <c r="S199" s="77"/>
      <c r="T199" s="77"/>
      <c r="U199" s="77"/>
      <c r="V199" s="77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77"/>
      <c r="Q200" s="77"/>
      <c r="R200" s="77"/>
      <c r="S200" s="77"/>
      <c r="T200" s="77"/>
      <c r="U200" s="77"/>
      <c r="V200" s="77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77"/>
      <c r="Q201" s="77"/>
      <c r="R201" s="77"/>
      <c r="S201" s="77"/>
      <c r="T201" s="77"/>
      <c r="U201" s="77"/>
      <c r="V201" s="77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77"/>
      <c r="Q202" s="77"/>
      <c r="R202" s="77"/>
      <c r="S202" s="77"/>
      <c r="T202" s="77"/>
      <c r="U202" s="77"/>
      <c r="V202" s="77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77"/>
      <c r="Q203" s="77"/>
      <c r="R203" s="77"/>
      <c r="S203" s="77"/>
      <c r="T203" s="77"/>
      <c r="U203" s="77"/>
      <c r="V203" s="77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77"/>
      <c r="Q204" s="77"/>
      <c r="R204" s="77"/>
      <c r="S204" s="77"/>
      <c r="T204" s="77"/>
      <c r="U204" s="77"/>
      <c r="V204" s="77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77"/>
      <c r="Q205" s="77"/>
      <c r="R205" s="77"/>
      <c r="S205" s="77"/>
      <c r="T205" s="77"/>
      <c r="U205" s="77"/>
      <c r="V205" s="77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77"/>
      <c r="Q206" s="77"/>
      <c r="R206" s="77"/>
      <c r="S206" s="77"/>
      <c r="T206" s="77"/>
      <c r="U206" s="77"/>
      <c r="V206" s="77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77"/>
      <c r="Q207" s="77"/>
      <c r="R207" s="77"/>
      <c r="S207" s="77"/>
      <c r="T207" s="77"/>
      <c r="U207" s="77"/>
      <c r="V207" s="77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77"/>
      <c r="Q208" s="77"/>
      <c r="R208" s="77"/>
      <c r="S208" s="77"/>
      <c r="T208" s="77"/>
      <c r="U208" s="77"/>
      <c r="V208" s="77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77"/>
      <c r="Q209" s="77"/>
      <c r="R209" s="77"/>
      <c r="S209" s="77"/>
      <c r="T209" s="77"/>
      <c r="U209" s="77"/>
      <c r="V209" s="77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77"/>
      <c r="Q210" s="77"/>
      <c r="R210" s="77"/>
      <c r="S210" s="77"/>
      <c r="T210" s="77"/>
      <c r="U210" s="77"/>
      <c r="V210" s="77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77"/>
      <c r="Q211" s="77"/>
      <c r="R211" s="77"/>
      <c r="S211" s="77"/>
      <c r="T211" s="77"/>
      <c r="U211" s="77"/>
      <c r="V211" s="77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77"/>
      <c r="Q212" s="77"/>
      <c r="R212" s="77"/>
      <c r="S212" s="77"/>
      <c r="T212" s="77"/>
      <c r="U212" s="77"/>
      <c r="V212" s="77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77"/>
      <c r="Q213" s="77"/>
      <c r="R213" s="77"/>
      <c r="S213" s="77"/>
      <c r="T213" s="77"/>
      <c r="U213" s="77"/>
      <c r="V213" s="77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77"/>
      <c r="Q214" s="77"/>
      <c r="R214" s="77"/>
      <c r="S214" s="77"/>
      <c r="T214" s="77"/>
      <c r="U214" s="77"/>
      <c r="V214" s="77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77"/>
      <c r="Q215" s="77"/>
      <c r="R215" s="77"/>
      <c r="S215" s="77"/>
      <c r="T215" s="77"/>
      <c r="U215" s="77"/>
      <c r="V215" s="77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77"/>
      <c r="Q216" s="77"/>
      <c r="R216" s="77"/>
      <c r="S216" s="77"/>
      <c r="T216" s="77"/>
      <c r="U216" s="77"/>
      <c r="V216" s="77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77"/>
      <c r="Q217" s="77"/>
      <c r="R217" s="77"/>
      <c r="S217" s="77"/>
      <c r="T217" s="77"/>
      <c r="U217" s="77"/>
      <c r="V217" s="77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77"/>
      <c r="Q218" s="77"/>
      <c r="R218" s="77"/>
      <c r="S218" s="77"/>
      <c r="T218" s="77"/>
      <c r="U218" s="77"/>
      <c r="V218" s="77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77"/>
      <c r="Q219" s="77"/>
      <c r="R219" s="77"/>
      <c r="S219" s="77"/>
      <c r="T219" s="77"/>
      <c r="U219" s="77"/>
      <c r="V219" s="77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77"/>
      <c r="Q220" s="77"/>
      <c r="R220" s="77"/>
      <c r="S220" s="77"/>
      <c r="T220" s="77"/>
      <c r="U220" s="77"/>
      <c r="V220" s="77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77"/>
      <c r="Q221" s="77"/>
      <c r="R221" s="77"/>
      <c r="S221" s="77"/>
      <c r="T221" s="77"/>
      <c r="U221" s="77"/>
      <c r="V221" s="77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77"/>
      <c r="Q222" s="77"/>
      <c r="R222" s="77"/>
      <c r="S222" s="77"/>
      <c r="T222" s="77"/>
      <c r="U222" s="77"/>
      <c r="V222" s="77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77"/>
      <c r="Q223" s="77"/>
      <c r="R223" s="77"/>
      <c r="S223" s="77"/>
      <c r="T223" s="77"/>
      <c r="U223" s="77"/>
      <c r="V223" s="77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77"/>
      <c r="Q224" s="77"/>
      <c r="R224" s="77"/>
      <c r="S224" s="77"/>
      <c r="T224" s="77"/>
      <c r="U224" s="77"/>
      <c r="V224" s="77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77"/>
      <c r="Q225" s="77"/>
      <c r="R225" s="77"/>
      <c r="S225" s="77"/>
      <c r="T225" s="77"/>
      <c r="U225" s="77"/>
      <c r="V225" s="77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77"/>
      <c r="Q226" s="77"/>
      <c r="R226" s="77"/>
      <c r="S226" s="77"/>
      <c r="T226" s="77"/>
      <c r="U226" s="77"/>
      <c r="V226" s="77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77"/>
      <c r="Q227" s="77"/>
      <c r="R227" s="77"/>
      <c r="S227" s="77"/>
      <c r="T227" s="77"/>
      <c r="U227" s="77"/>
      <c r="V227" s="77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77"/>
      <c r="Q228" s="77"/>
      <c r="R228" s="77"/>
      <c r="S228" s="77"/>
      <c r="T228" s="77"/>
      <c r="U228" s="77"/>
      <c r="V228" s="77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77"/>
      <c r="Q229" s="77"/>
      <c r="R229" s="77"/>
      <c r="S229" s="77"/>
      <c r="T229" s="77"/>
      <c r="U229" s="77"/>
      <c r="V229" s="77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77"/>
      <c r="Q230" s="77"/>
      <c r="R230" s="77"/>
      <c r="S230" s="77"/>
      <c r="T230" s="77"/>
      <c r="U230" s="77"/>
      <c r="V230" s="77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77"/>
      <c r="Q231" s="77"/>
      <c r="R231" s="77"/>
      <c r="S231" s="77"/>
      <c r="T231" s="77"/>
      <c r="U231" s="77"/>
      <c r="V231" s="77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77"/>
      <c r="Q232" s="77"/>
      <c r="R232" s="77"/>
      <c r="S232" s="77"/>
      <c r="T232" s="77"/>
      <c r="U232" s="77"/>
      <c r="V232" s="77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77"/>
      <c r="Q233" s="77"/>
      <c r="R233" s="77"/>
      <c r="S233" s="77"/>
      <c r="T233" s="77"/>
      <c r="U233" s="77"/>
      <c r="V233" s="77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77"/>
      <c r="Q234" s="77"/>
      <c r="R234" s="77"/>
      <c r="S234" s="77"/>
      <c r="T234" s="77"/>
      <c r="U234" s="77"/>
      <c r="V234" s="77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77"/>
      <c r="Q235" s="77"/>
      <c r="R235" s="77"/>
      <c r="S235" s="77"/>
      <c r="T235" s="77"/>
      <c r="U235" s="77"/>
      <c r="V235" s="77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77"/>
      <c r="Q236" s="77"/>
      <c r="R236" s="77"/>
      <c r="S236" s="77"/>
      <c r="T236" s="77"/>
      <c r="U236" s="77"/>
      <c r="V236" s="77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77"/>
      <c r="Q237" s="77"/>
      <c r="R237" s="77"/>
      <c r="S237" s="77"/>
      <c r="T237" s="77"/>
      <c r="U237" s="77"/>
      <c r="V237" s="77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77"/>
      <c r="Q238" s="77"/>
      <c r="R238" s="77"/>
      <c r="S238" s="77"/>
      <c r="T238" s="77"/>
      <c r="U238" s="77"/>
      <c r="V238" s="77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77"/>
      <c r="Q239" s="77"/>
      <c r="R239" s="77"/>
      <c r="S239" s="77"/>
      <c r="T239" s="77"/>
      <c r="U239" s="77"/>
      <c r="V239" s="77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77"/>
      <c r="Q240" s="77"/>
      <c r="R240" s="77"/>
      <c r="S240" s="77"/>
      <c r="T240" s="77"/>
      <c r="U240" s="77"/>
      <c r="V240" s="77"/>
      <c r="W240" s="12"/>
      <c r="X240" s="12"/>
      <c r="Y240" s="12"/>
      <c r="Z240" s="12"/>
    </row>
    <row r="241" ht="15.75" customHeight="1">
      <c r="P241" s="78"/>
      <c r="Q241" s="78"/>
      <c r="R241" s="78"/>
      <c r="S241" s="78"/>
      <c r="T241" s="78"/>
      <c r="U241" s="78"/>
      <c r="V241" s="78"/>
    </row>
    <row r="242" ht="15.75" customHeight="1">
      <c r="P242" s="78"/>
      <c r="Q242" s="78"/>
      <c r="R242" s="78"/>
      <c r="S242" s="78"/>
      <c r="T242" s="78"/>
      <c r="U242" s="78"/>
      <c r="V242" s="78"/>
    </row>
    <row r="243" ht="15.75" customHeight="1">
      <c r="P243" s="78"/>
      <c r="Q243" s="78"/>
      <c r="R243" s="78"/>
      <c r="S243" s="78"/>
      <c r="T243" s="78"/>
      <c r="U243" s="78"/>
      <c r="V243" s="78"/>
    </row>
    <row r="244" ht="15.75" customHeight="1">
      <c r="P244" s="78"/>
      <c r="Q244" s="78"/>
      <c r="R244" s="78"/>
      <c r="S244" s="78"/>
      <c r="T244" s="78"/>
      <c r="U244" s="78"/>
      <c r="V244" s="78"/>
    </row>
    <row r="245" ht="15.75" customHeight="1">
      <c r="P245" s="78"/>
      <c r="Q245" s="78"/>
      <c r="R245" s="78"/>
      <c r="S245" s="78"/>
      <c r="T245" s="78"/>
      <c r="U245" s="78"/>
      <c r="V245" s="78"/>
    </row>
    <row r="246" ht="15.75" customHeight="1">
      <c r="P246" s="78"/>
      <c r="Q246" s="78"/>
      <c r="R246" s="78"/>
      <c r="S246" s="78"/>
      <c r="T246" s="78"/>
      <c r="U246" s="78"/>
      <c r="V246" s="78"/>
    </row>
    <row r="247" ht="15.75" customHeight="1">
      <c r="P247" s="78"/>
      <c r="Q247" s="78"/>
      <c r="R247" s="78"/>
      <c r="S247" s="78"/>
      <c r="T247" s="78"/>
      <c r="U247" s="78"/>
      <c r="V247" s="78"/>
    </row>
    <row r="248" ht="15.75" customHeight="1">
      <c r="P248" s="78"/>
      <c r="Q248" s="78"/>
      <c r="R248" s="78"/>
      <c r="S248" s="78"/>
      <c r="T248" s="78"/>
      <c r="U248" s="78"/>
      <c r="V248" s="78"/>
    </row>
    <row r="249" ht="15.75" customHeight="1">
      <c r="P249" s="78"/>
      <c r="Q249" s="78"/>
      <c r="R249" s="78"/>
      <c r="S249" s="78"/>
      <c r="T249" s="78"/>
      <c r="U249" s="78"/>
      <c r="V249" s="78"/>
    </row>
    <row r="250" ht="15.75" customHeight="1">
      <c r="P250" s="78"/>
      <c r="Q250" s="78"/>
      <c r="R250" s="78"/>
      <c r="S250" s="78"/>
      <c r="T250" s="78"/>
      <c r="U250" s="78"/>
      <c r="V250" s="78"/>
    </row>
    <row r="251" ht="15.75" customHeight="1">
      <c r="P251" s="78"/>
      <c r="Q251" s="78"/>
      <c r="R251" s="78"/>
      <c r="S251" s="78"/>
      <c r="T251" s="78"/>
      <c r="U251" s="78"/>
      <c r="V251" s="78"/>
    </row>
    <row r="252" ht="15.75" customHeight="1">
      <c r="P252" s="78"/>
      <c r="Q252" s="78"/>
      <c r="R252" s="78"/>
      <c r="S252" s="78"/>
      <c r="T252" s="78"/>
      <c r="U252" s="78"/>
      <c r="V252" s="78"/>
    </row>
    <row r="253" ht="15.75" customHeight="1">
      <c r="P253" s="78"/>
      <c r="Q253" s="78"/>
      <c r="R253" s="78"/>
      <c r="S253" s="78"/>
      <c r="T253" s="78"/>
      <c r="U253" s="78"/>
      <c r="V253" s="78"/>
    </row>
    <row r="254" ht="15.75" customHeight="1">
      <c r="P254" s="78"/>
      <c r="Q254" s="78"/>
      <c r="R254" s="78"/>
      <c r="S254" s="78"/>
      <c r="T254" s="78"/>
      <c r="U254" s="78"/>
      <c r="V254" s="78"/>
    </row>
    <row r="255" ht="15.75" customHeight="1">
      <c r="P255" s="78"/>
      <c r="Q255" s="78"/>
      <c r="R255" s="78"/>
      <c r="S255" s="78"/>
      <c r="T255" s="78"/>
      <c r="U255" s="78"/>
      <c r="V255" s="78"/>
    </row>
    <row r="256" ht="15.75" customHeight="1">
      <c r="P256" s="78"/>
      <c r="Q256" s="78"/>
      <c r="R256" s="78"/>
      <c r="S256" s="78"/>
      <c r="T256" s="78"/>
      <c r="U256" s="78"/>
      <c r="V256" s="78"/>
    </row>
    <row r="257" ht="15.75" customHeight="1">
      <c r="P257" s="78"/>
      <c r="Q257" s="78"/>
      <c r="R257" s="78"/>
      <c r="S257" s="78"/>
      <c r="T257" s="78"/>
      <c r="U257" s="78"/>
      <c r="V257" s="78"/>
    </row>
    <row r="258" ht="15.75" customHeight="1">
      <c r="P258" s="78"/>
      <c r="Q258" s="78"/>
      <c r="R258" s="78"/>
      <c r="S258" s="78"/>
      <c r="T258" s="78"/>
      <c r="U258" s="78"/>
      <c r="V258" s="78"/>
    </row>
    <row r="259" ht="15.75" customHeight="1">
      <c r="P259" s="78"/>
      <c r="Q259" s="78"/>
      <c r="R259" s="78"/>
      <c r="S259" s="78"/>
      <c r="T259" s="78"/>
      <c r="U259" s="78"/>
      <c r="V259" s="78"/>
    </row>
    <row r="260" ht="15.75" customHeight="1">
      <c r="P260" s="78"/>
      <c r="Q260" s="78"/>
      <c r="R260" s="78"/>
      <c r="S260" s="78"/>
      <c r="T260" s="78"/>
      <c r="U260" s="78"/>
      <c r="V260" s="78"/>
    </row>
    <row r="261" ht="15.75" customHeight="1">
      <c r="P261" s="78"/>
      <c r="Q261" s="78"/>
      <c r="R261" s="78"/>
      <c r="S261" s="78"/>
      <c r="T261" s="78"/>
      <c r="U261" s="78"/>
      <c r="V261" s="78"/>
    </row>
    <row r="262" ht="15.75" customHeight="1">
      <c r="P262" s="78"/>
      <c r="Q262" s="78"/>
      <c r="R262" s="78"/>
      <c r="S262" s="78"/>
      <c r="T262" s="78"/>
      <c r="U262" s="78"/>
      <c r="V262" s="78"/>
    </row>
    <row r="263" ht="15.75" customHeight="1">
      <c r="P263" s="78"/>
      <c r="Q263" s="78"/>
      <c r="R263" s="78"/>
      <c r="S263" s="78"/>
      <c r="T263" s="78"/>
      <c r="U263" s="78"/>
      <c r="V263" s="78"/>
    </row>
    <row r="264" ht="15.75" customHeight="1">
      <c r="P264" s="78"/>
      <c r="Q264" s="78"/>
      <c r="R264" s="78"/>
      <c r="S264" s="78"/>
      <c r="T264" s="78"/>
      <c r="U264" s="78"/>
      <c r="V264" s="78"/>
    </row>
    <row r="265" ht="15.75" customHeight="1">
      <c r="P265" s="78"/>
      <c r="Q265" s="78"/>
      <c r="R265" s="78"/>
      <c r="S265" s="78"/>
      <c r="T265" s="78"/>
      <c r="U265" s="78"/>
      <c r="V265" s="78"/>
    </row>
    <row r="266" ht="15.75" customHeight="1">
      <c r="P266" s="78"/>
      <c r="Q266" s="78"/>
      <c r="R266" s="78"/>
      <c r="S266" s="78"/>
      <c r="T266" s="78"/>
      <c r="U266" s="78"/>
      <c r="V266" s="78"/>
    </row>
    <row r="267" ht="15.75" customHeight="1">
      <c r="P267" s="78"/>
      <c r="Q267" s="78"/>
      <c r="R267" s="78"/>
      <c r="S267" s="78"/>
      <c r="T267" s="78"/>
      <c r="U267" s="78"/>
      <c r="V267" s="78"/>
    </row>
    <row r="268" ht="15.75" customHeight="1">
      <c r="P268" s="78"/>
      <c r="Q268" s="78"/>
      <c r="R268" s="78"/>
      <c r="S268" s="78"/>
      <c r="T268" s="78"/>
      <c r="U268" s="78"/>
      <c r="V268" s="78"/>
    </row>
    <row r="269" ht="15.75" customHeight="1">
      <c r="P269" s="78"/>
      <c r="Q269" s="78"/>
      <c r="R269" s="78"/>
      <c r="S269" s="78"/>
      <c r="T269" s="78"/>
      <c r="U269" s="78"/>
      <c r="V269" s="78"/>
    </row>
    <row r="270" ht="15.75" customHeight="1">
      <c r="P270" s="78"/>
      <c r="Q270" s="78"/>
      <c r="R270" s="78"/>
      <c r="S270" s="78"/>
      <c r="T270" s="78"/>
      <c r="U270" s="78"/>
      <c r="V270" s="78"/>
    </row>
    <row r="271" ht="15.75" customHeight="1">
      <c r="P271" s="78"/>
      <c r="Q271" s="78"/>
      <c r="R271" s="78"/>
      <c r="S271" s="78"/>
      <c r="T271" s="78"/>
      <c r="U271" s="78"/>
      <c r="V271" s="78"/>
    </row>
    <row r="272" ht="15.75" customHeight="1">
      <c r="P272" s="78"/>
      <c r="Q272" s="78"/>
      <c r="R272" s="78"/>
      <c r="S272" s="78"/>
      <c r="T272" s="78"/>
      <c r="U272" s="78"/>
      <c r="V272" s="78"/>
    </row>
    <row r="273" ht="15.75" customHeight="1">
      <c r="P273" s="78"/>
      <c r="Q273" s="78"/>
      <c r="R273" s="78"/>
      <c r="S273" s="78"/>
      <c r="T273" s="78"/>
      <c r="U273" s="78"/>
      <c r="V273" s="78"/>
    </row>
    <row r="274" ht="15.75" customHeight="1">
      <c r="P274" s="78"/>
      <c r="Q274" s="78"/>
      <c r="R274" s="78"/>
      <c r="S274" s="78"/>
      <c r="T274" s="78"/>
      <c r="U274" s="78"/>
      <c r="V274" s="78"/>
    </row>
    <row r="275" ht="15.75" customHeight="1">
      <c r="P275" s="78"/>
      <c r="Q275" s="78"/>
      <c r="R275" s="78"/>
      <c r="S275" s="78"/>
      <c r="T275" s="78"/>
      <c r="U275" s="78"/>
      <c r="V275" s="78"/>
    </row>
    <row r="276" ht="15.75" customHeight="1">
      <c r="P276" s="78"/>
      <c r="Q276" s="78"/>
      <c r="R276" s="78"/>
      <c r="S276" s="78"/>
      <c r="T276" s="78"/>
      <c r="U276" s="78"/>
      <c r="V276" s="78"/>
    </row>
    <row r="277" ht="15.75" customHeight="1">
      <c r="P277" s="78"/>
      <c r="Q277" s="78"/>
      <c r="R277" s="78"/>
      <c r="S277" s="78"/>
      <c r="T277" s="78"/>
      <c r="U277" s="78"/>
      <c r="V277" s="78"/>
    </row>
    <row r="278" ht="15.75" customHeight="1">
      <c r="P278" s="78"/>
      <c r="Q278" s="78"/>
      <c r="R278" s="78"/>
      <c r="S278" s="78"/>
      <c r="T278" s="78"/>
      <c r="U278" s="78"/>
      <c r="V278" s="78"/>
    </row>
    <row r="279" ht="15.75" customHeight="1">
      <c r="P279" s="78"/>
      <c r="Q279" s="78"/>
      <c r="R279" s="78"/>
      <c r="S279" s="78"/>
      <c r="T279" s="78"/>
      <c r="U279" s="78"/>
      <c r="V279" s="78"/>
    </row>
    <row r="280" ht="15.75" customHeight="1">
      <c r="P280" s="78"/>
      <c r="Q280" s="78"/>
      <c r="R280" s="78"/>
      <c r="S280" s="78"/>
      <c r="T280" s="78"/>
      <c r="U280" s="78"/>
      <c r="V280" s="78"/>
    </row>
    <row r="281" ht="15.75" customHeight="1">
      <c r="P281" s="78"/>
      <c r="Q281" s="78"/>
      <c r="R281" s="78"/>
      <c r="S281" s="78"/>
      <c r="T281" s="78"/>
      <c r="U281" s="78"/>
      <c r="V281" s="78"/>
    </row>
    <row r="282" ht="15.75" customHeight="1">
      <c r="P282" s="78"/>
      <c r="Q282" s="78"/>
      <c r="R282" s="78"/>
      <c r="S282" s="78"/>
      <c r="T282" s="78"/>
      <c r="U282" s="78"/>
      <c r="V282" s="78"/>
    </row>
    <row r="283" ht="15.75" customHeight="1">
      <c r="P283" s="78"/>
      <c r="Q283" s="78"/>
      <c r="R283" s="78"/>
      <c r="S283" s="78"/>
      <c r="T283" s="78"/>
      <c r="U283" s="78"/>
      <c r="V283" s="78"/>
    </row>
    <row r="284" ht="15.75" customHeight="1">
      <c r="P284" s="78"/>
      <c r="Q284" s="78"/>
      <c r="R284" s="78"/>
      <c r="S284" s="78"/>
      <c r="T284" s="78"/>
      <c r="U284" s="78"/>
      <c r="V284" s="78"/>
    </row>
    <row r="285" ht="15.75" customHeight="1">
      <c r="P285" s="78"/>
      <c r="Q285" s="78"/>
      <c r="R285" s="78"/>
      <c r="S285" s="78"/>
      <c r="T285" s="78"/>
      <c r="U285" s="78"/>
      <c r="V285" s="78"/>
    </row>
    <row r="286" ht="15.75" customHeight="1">
      <c r="P286" s="78"/>
      <c r="Q286" s="78"/>
      <c r="R286" s="78"/>
      <c r="S286" s="78"/>
      <c r="T286" s="78"/>
      <c r="U286" s="78"/>
      <c r="V286" s="78"/>
    </row>
    <row r="287" ht="15.75" customHeight="1">
      <c r="P287" s="78"/>
      <c r="Q287" s="78"/>
      <c r="R287" s="78"/>
      <c r="S287" s="78"/>
      <c r="T287" s="78"/>
      <c r="U287" s="78"/>
      <c r="V287" s="78"/>
    </row>
    <row r="288" ht="15.75" customHeight="1">
      <c r="P288" s="78"/>
      <c r="Q288" s="78"/>
      <c r="R288" s="78"/>
      <c r="S288" s="78"/>
      <c r="T288" s="78"/>
      <c r="U288" s="78"/>
      <c r="V288" s="78"/>
    </row>
    <row r="289" ht="15.75" customHeight="1">
      <c r="P289" s="78"/>
      <c r="Q289" s="78"/>
      <c r="R289" s="78"/>
      <c r="S289" s="78"/>
      <c r="T289" s="78"/>
      <c r="U289" s="78"/>
      <c r="V289" s="78"/>
    </row>
    <row r="290" ht="15.75" customHeight="1">
      <c r="P290" s="78"/>
      <c r="Q290" s="78"/>
      <c r="R290" s="78"/>
      <c r="S290" s="78"/>
      <c r="T290" s="78"/>
      <c r="U290" s="78"/>
      <c r="V290" s="78"/>
    </row>
    <row r="291" ht="15.75" customHeight="1">
      <c r="P291" s="78"/>
      <c r="Q291" s="78"/>
      <c r="R291" s="78"/>
      <c r="S291" s="78"/>
      <c r="T291" s="78"/>
      <c r="U291" s="78"/>
      <c r="V291" s="78"/>
    </row>
    <row r="292" ht="15.75" customHeight="1">
      <c r="P292" s="78"/>
      <c r="Q292" s="78"/>
      <c r="R292" s="78"/>
      <c r="S292" s="78"/>
      <c r="T292" s="78"/>
      <c r="U292" s="78"/>
      <c r="V292" s="78"/>
    </row>
    <row r="293" ht="15.75" customHeight="1">
      <c r="P293" s="78"/>
      <c r="Q293" s="78"/>
      <c r="R293" s="78"/>
      <c r="S293" s="78"/>
      <c r="T293" s="78"/>
      <c r="U293" s="78"/>
      <c r="V293" s="78"/>
    </row>
    <row r="294" ht="15.75" customHeight="1">
      <c r="P294" s="78"/>
      <c r="Q294" s="78"/>
      <c r="R294" s="78"/>
      <c r="S294" s="78"/>
      <c r="T294" s="78"/>
      <c r="U294" s="78"/>
      <c r="V294" s="78"/>
    </row>
    <row r="295" ht="15.75" customHeight="1">
      <c r="P295" s="78"/>
      <c r="Q295" s="78"/>
      <c r="R295" s="78"/>
      <c r="S295" s="78"/>
      <c r="T295" s="78"/>
      <c r="U295" s="78"/>
      <c r="V295" s="78"/>
    </row>
    <row r="296" ht="15.75" customHeight="1">
      <c r="P296" s="78"/>
      <c r="Q296" s="78"/>
      <c r="R296" s="78"/>
      <c r="S296" s="78"/>
      <c r="T296" s="78"/>
      <c r="U296" s="78"/>
      <c r="V296" s="78"/>
    </row>
    <row r="297" ht="15.75" customHeight="1">
      <c r="P297" s="78"/>
      <c r="Q297" s="78"/>
      <c r="R297" s="78"/>
      <c r="S297" s="78"/>
      <c r="T297" s="78"/>
      <c r="U297" s="78"/>
      <c r="V297" s="78"/>
    </row>
    <row r="298" ht="15.75" customHeight="1">
      <c r="P298" s="78"/>
      <c r="Q298" s="78"/>
      <c r="R298" s="78"/>
      <c r="S298" s="78"/>
      <c r="T298" s="78"/>
      <c r="U298" s="78"/>
      <c r="V298" s="78"/>
    </row>
    <row r="299" ht="15.75" customHeight="1">
      <c r="P299" s="78"/>
      <c r="Q299" s="78"/>
      <c r="R299" s="78"/>
      <c r="S299" s="78"/>
      <c r="T299" s="78"/>
      <c r="U299" s="78"/>
      <c r="V299" s="78"/>
    </row>
    <row r="300" ht="15.75" customHeight="1">
      <c r="P300" s="78"/>
      <c r="Q300" s="78"/>
      <c r="R300" s="78"/>
      <c r="S300" s="78"/>
      <c r="T300" s="78"/>
      <c r="U300" s="78"/>
      <c r="V300" s="78"/>
    </row>
    <row r="301" ht="15.75" customHeight="1">
      <c r="P301" s="78"/>
      <c r="Q301" s="78"/>
      <c r="R301" s="78"/>
      <c r="S301" s="78"/>
      <c r="T301" s="78"/>
      <c r="U301" s="78"/>
      <c r="V301" s="78"/>
    </row>
    <row r="302" ht="15.75" customHeight="1">
      <c r="P302" s="78"/>
      <c r="Q302" s="78"/>
      <c r="R302" s="78"/>
      <c r="S302" s="78"/>
      <c r="T302" s="78"/>
      <c r="U302" s="78"/>
      <c r="V302" s="78"/>
    </row>
    <row r="303" ht="15.75" customHeight="1">
      <c r="P303" s="78"/>
      <c r="Q303" s="78"/>
      <c r="R303" s="78"/>
      <c r="S303" s="78"/>
      <c r="T303" s="78"/>
      <c r="U303" s="78"/>
      <c r="V303" s="78"/>
    </row>
    <row r="304" ht="15.75" customHeight="1">
      <c r="P304" s="78"/>
      <c r="Q304" s="78"/>
      <c r="R304" s="78"/>
      <c r="S304" s="78"/>
      <c r="T304" s="78"/>
      <c r="U304" s="78"/>
      <c r="V304" s="78"/>
    </row>
    <row r="305" ht="15.75" customHeight="1">
      <c r="P305" s="78"/>
      <c r="Q305" s="78"/>
      <c r="R305" s="78"/>
      <c r="S305" s="78"/>
      <c r="T305" s="78"/>
      <c r="U305" s="78"/>
      <c r="V305" s="78"/>
    </row>
    <row r="306" ht="15.75" customHeight="1">
      <c r="P306" s="78"/>
      <c r="Q306" s="78"/>
      <c r="R306" s="78"/>
      <c r="S306" s="78"/>
      <c r="T306" s="78"/>
      <c r="U306" s="78"/>
      <c r="V306" s="78"/>
    </row>
    <row r="307" ht="15.75" customHeight="1">
      <c r="P307" s="78"/>
      <c r="Q307" s="78"/>
      <c r="R307" s="78"/>
      <c r="S307" s="78"/>
      <c r="T307" s="78"/>
      <c r="U307" s="78"/>
      <c r="V307" s="78"/>
    </row>
    <row r="308" ht="15.75" customHeight="1">
      <c r="P308" s="78"/>
      <c r="Q308" s="78"/>
      <c r="R308" s="78"/>
      <c r="S308" s="78"/>
      <c r="T308" s="78"/>
      <c r="U308" s="78"/>
      <c r="V308" s="78"/>
    </row>
    <row r="309" ht="15.75" customHeight="1">
      <c r="P309" s="78"/>
      <c r="Q309" s="78"/>
      <c r="R309" s="78"/>
      <c r="S309" s="78"/>
      <c r="T309" s="78"/>
      <c r="U309" s="78"/>
      <c r="V309" s="78"/>
    </row>
    <row r="310" ht="15.75" customHeight="1">
      <c r="P310" s="78"/>
      <c r="Q310" s="78"/>
      <c r="R310" s="78"/>
      <c r="S310" s="78"/>
      <c r="T310" s="78"/>
      <c r="U310" s="78"/>
      <c r="V310" s="78"/>
    </row>
    <row r="311" ht="15.75" customHeight="1">
      <c r="P311" s="78"/>
      <c r="Q311" s="78"/>
      <c r="R311" s="78"/>
      <c r="S311" s="78"/>
      <c r="T311" s="78"/>
      <c r="U311" s="78"/>
      <c r="V311" s="78"/>
    </row>
    <row r="312" ht="15.75" customHeight="1">
      <c r="P312" s="78"/>
      <c r="Q312" s="78"/>
      <c r="R312" s="78"/>
      <c r="S312" s="78"/>
      <c r="T312" s="78"/>
      <c r="U312" s="78"/>
      <c r="V312" s="78"/>
    </row>
    <row r="313" ht="15.75" customHeight="1">
      <c r="P313" s="78"/>
      <c r="Q313" s="78"/>
      <c r="R313" s="78"/>
      <c r="S313" s="78"/>
      <c r="T313" s="78"/>
      <c r="U313" s="78"/>
      <c r="V313" s="78"/>
    </row>
    <row r="314" ht="15.75" customHeight="1">
      <c r="P314" s="78"/>
      <c r="Q314" s="78"/>
      <c r="R314" s="78"/>
      <c r="S314" s="78"/>
      <c r="T314" s="78"/>
      <c r="U314" s="78"/>
      <c r="V314" s="78"/>
    </row>
    <row r="315" ht="15.75" customHeight="1">
      <c r="P315" s="78"/>
      <c r="Q315" s="78"/>
      <c r="R315" s="78"/>
      <c r="S315" s="78"/>
      <c r="T315" s="78"/>
      <c r="U315" s="78"/>
      <c r="V315" s="78"/>
    </row>
    <row r="316" ht="15.75" customHeight="1">
      <c r="P316" s="78"/>
      <c r="Q316" s="78"/>
      <c r="R316" s="78"/>
      <c r="S316" s="78"/>
      <c r="T316" s="78"/>
      <c r="U316" s="78"/>
      <c r="V316" s="78"/>
    </row>
    <row r="317" ht="15.75" customHeight="1">
      <c r="P317" s="78"/>
      <c r="Q317" s="78"/>
      <c r="R317" s="78"/>
      <c r="S317" s="78"/>
      <c r="T317" s="78"/>
      <c r="U317" s="78"/>
      <c r="V317" s="78"/>
    </row>
    <row r="318" ht="15.75" customHeight="1">
      <c r="P318" s="78"/>
      <c r="Q318" s="78"/>
      <c r="R318" s="78"/>
      <c r="S318" s="78"/>
      <c r="T318" s="78"/>
      <c r="U318" s="78"/>
      <c r="V318" s="78"/>
    </row>
    <row r="319" ht="15.75" customHeight="1">
      <c r="P319" s="78"/>
      <c r="Q319" s="78"/>
      <c r="R319" s="78"/>
      <c r="S319" s="78"/>
      <c r="T319" s="78"/>
      <c r="U319" s="78"/>
      <c r="V319" s="78"/>
    </row>
    <row r="320" ht="15.75" customHeight="1">
      <c r="P320" s="78"/>
      <c r="Q320" s="78"/>
      <c r="R320" s="78"/>
      <c r="S320" s="78"/>
      <c r="T320" s="78"/>
      <c r="U320" s="78"/>
      <c r="V320" s="78"/>
    </row>
    <row r="321" ht="15.75" customHeight="1">
      <c r="P321" s="78"/>
      <c r="Q321" s="78"/>
      <c r="R321" s="78"/>
      <c r="S321" s="78"/>
      <c r="T321" s="78"/>
      <c r="U321" s="78"/>
      <c r="V321" s="78"/>
    </row>
    <row r="322" ht="15.75" customHeight="1">
      <c r="P322" s="78"/>
      <c r="Q322" s="78"/>
      <c r="R322" s="78"/>
      <c r="S322" s="78"/>
      <c r="T322" s="78"/>
      <c r="U322" s="78"/>
      <c r="V322" s="78"/>
    </row>
    <row r="323" ht="15.75" customHeight="1">
      <c r="P323" s="78"/>
      <c r="Q323" s="78"/>
      <c r="R323" s="78"/>
      <c r="S323" s="78"/>
      <c r="T323" s="78"/>
      <c r="U323" s="78"/>
      <c r="V323" s="78"/>
    </row>
    <row r="324" ht="15.75" customHeight="1">
      <c r="P324" s="78"/>
      <c r="Q324" s="78"/>
      <c r="R324" s="78"/>
      <c r="S324" s="78"/>
      <c r="T324" s="78"/>
      <c r="U324" s="78"/>
      <c r="V324" s="78"/>
    </row>
    <row r="325" ht="15.75" customHeight="1">
      <c r="P325" s="78"/>
      <c r="Q325" s="78"/>
      <c r="R325" s="78"/>
      <c r="S325" s="78"/>
      <c r="T325" s="78"/>
      <c r="U325" s="78"/>
      <c r="V325" s="78"/>
    </row>
    <row r="326" ht="15.75" customHeight="1">
      <c r="P326" s="78"/>
      <c r="Q326" s="78"/>
      <c r="R326" s="78"/>
      <c r="S326" s="78"/>
      <c r="T326" s="78"/>
      <c r="U326" s="78"/>
      <c r="V326" s="78"/>
    </row>
    <row r="327" ht="15.75" customHeight="1">
      <c r="P327" s="78"/>
      <c r="Q327" s="78"/>
      <c r="R327" s="78"/>
      <c r="S327" s="78"/>
      <c r="T327" s="78"/>
      <c r="U327" s="78"/>
      <c r="V327" s="78"/>
    </row>
    <row r="328" ht="15.75" customHeight="1">
      <c r="P328" s="78"/>
      <c r="Q328" s="78"/>
      <c r="R328" s="78"/>
      <c r="S328" s="78"/>
      <c r="T328" s="78"/>
      <c r="U328" s="78"/>
      <c r="V328" s="78"/>
    </row>
    <row r="329" ht="15.75" customHeight="1">
      <c r="P329" s="78"/>
      <c r="Q329" s="78"/>
      <c r="R329" s="78"/>
      <c r="S329" s="78"/>
      <c r="T329" s="78"/>
      <c r="U329" s="78"/>
      <c r="V329" s="78"/>
    </row>
    <row r="330" ht="15.75" customHeight="1">
      <c r="P330" s="78"/>
      <c r="Q330" s="78"/>
      <c r="R330" s="78"/>
      <c r="S330" s="78"/>
      <c r="T330" s="78"/>
      <c r="U330" s="78"/>
      <c r="V330" s="78"/>
    </row>
    <row r="331" ht="15.75" customHeight="1">
      <c r="P331" s="78"/>
      <c r="Q331" s="78"/>
      <c r="R331" s="78"/>
      <c r="S331" s="78"/>
      <c r="T331" s="78"/>
      <c r="U331" s="78"/>
      <c r="V331" s="78"/>
    </row>
    <row r="332" ht="15.75" customHeight="1">
      <c r="P332" s="78"/>
      <c r="Q332" s="78"/>
      <c r="R332" s="78"/>
      <c r="S332" s="78"/>
      <c r="T332" s="78"/>
      <c r="U332" s="78"/>
      <c r="V332" s="78"/>
    </row>
    <row r="333" ht="15.75" customHeight="1">
      <c r="P333" s="78"/>
      <c r="Q333" s="78"/>
      <c r="R333" s="78"/>
      <c r="S333" s="78"/>
      <c r="T333" s="78"/>
      <c r="U333" s="78"/>
      <c r="V333" s="78"/>
    </row>
    <row r="334" ht="15.75" customHeight="1">
      <c r="P334" s="78"/>
      <c r="Q334" s="78"/>
      <c r="R334" s="78"/>
      <c r="S334" s="78"/>
      <c r="T334" s="78"/>
      <c r="U334" s="78"/>
      <c r="V334" s="78"/>
    </row>
    <row r="335" ht="15.75" customHeight="1">
      <c r="P335" s="78"/>
      <c r="Q335" s="78"/>
      <c r="R335" s="78"/>
      <c r="S335" s="78"/>
      <c r="T335" s="78"/>
      <c r="U335" s="78"/>
      <c r="V335" s="78"/>
    </row>
    <row r="336" ht="15.75" customHeight="1">
      <c r="P336" s="78"/>
      <c r="Q336" s="78"/>
      <c r="R336" s="78"/>
      <c r="S336" s="78"/>
      <c r="T336" s="78"/>
      <c r="U336" s="78"/>
      <c r="V336" s="78"/>
    </row>
    <row r="337" ht="15.75" customHeight="1">
      <c r="P337" s="78"/>
      <c r="Q337" s="78"/>
      <c r="R337" s="78"/>
      <c r="S337" s="78"/>
      <c r="T337" s="78"/>
      <c r="U337" s="78"/>
      <c r="V337" s="78"/>
    </row>
    <row r="338" ht="15.75" customHeight="1">
      <c r="P338" s="78"/>
      <c r="Q338" s="78"/>
      <c r="R338" s="78"/>
      <c r="S338" s="78"/>
      <c r="T338" s="78"/>
      <c r="U338" s="78"/>
      <c r="V338" s="78"/>
    </row>
    <row r="339" ht="15.75" customHeight="1">
      <c r="P339" s="78"/>
      <c r="Q339" s="78"/>
      <c r="R339" s="78"/>
      <c r="S339" s="78"/>
      <c r="T339" s="78"/>
      <c r="U339" s="78"/>
      <c r="V339" s="78"/>
    </row>
    <row r="340" ht="15.75" customHeight="1">
      <c r="P340" s="78"/>
      <c r="Q340" s="78"/>
      <c r="R340" s="78"/>
      <c r="S340" s="78"/>
      <c r="T340" s="78"/>
      <c r="U340" s="78"/>
      <c r="V340" s="78"/>
    </row>
    <row r="341" ht="15.75" customHeight="1">
      <c r="P341" s="78"/>
      <c r="Q341" s="78"/>
      <c r="R341" s="78"/>
      <c r="S341" s="78"/>
      <c r="T341" s="78"/>
      <c r="U341" s="78"/>
      <c r="V341" s="78"/>
    </row>
    <row r="342" ht="15.75" customHeight="1">
      <c r="P342" s="78"/>
      <c r="Q342" s="78"/>
      <c r="R342" s="78"/>
      <c r="S342" s="78"/>
      <c r="T342" s="78"/>
      <c r="U342" s="78"/>
      <c r="V342" s="78"/>
    </row>
    <row r="343" ht="15.75" customHeight="1">
      <c r="P343" s="78"/>
      <c r="Q343" s="78"/>
      <c r="R343" s="78"/>
      <c r="S343" s="78"/>
      <c r="T343" s="78"/>
      <c r="U343" s="78"/>
      <c r="V343" s="78"/>
    </row>
    <row r="344" ht="15.75" customHeight="1">
      <c r="P344" s="78"/>
      <c r="Q344" s="78"/>
      <c r="R344" s="78"/>
      <c r="S344" s="78"/>
      <c r="T344" s="78"/>
      <c r="U344" s="78"/>
      <c r="V344" s="78"/>
    </row>
    <row r="345" ht="15.75" customHeight="1">
      <c r="P345" s="78"/>
      <c r="Q345" s="78"/>
      <c r="R345" s="78"/>
      <c r="S345" s="78"/>
      <c r="T345" s="78"/>
      <c r="U345" s="78"/>
      <c r="V345" s="78"/>
    </row>
    <row r="346" ht="15.75" customHeight="1">
      <c r="P346" s="78"/>
      <c r="Q346" s="78"/>
      <c r="R346" s="78"/>
      <c r="S346" s="78"/>
      <c r="T346" s="78"/>
      <c r="U346" s="78"/>
      <c r="V346" s="78"/>
    </row>
    <row r="347" ht="15.75" customHeight="1">
      <c r="P347" s="78"/>
      <c r="Q347" s="78"/>
      <c r="R347" s="78"/>
      <c r="S347" s="78"/>
      <c r="T347" s="78"/>
      <c r="U347" s="78"/>
      <c r="V347" s="78"/>
    </row>
    <row r="348" ht="15.75" customHeight="1">
      <c r="P348" s="78"/>
      <c r="Q348" s="78"/>
      <c r="R348" s="78"/>
      <c r="S348" s="78"/>
      <c r="T348" s="78"/>
      <c r="U348" s="78"/>
      <c r="V348" s="78"/>
    </row>
    <row r="349" ht="15.75" customHeight="1">
      <c r="P349" s="78"/>
      <c r="Q349" s="78"/>
      <c r="R349" s="78"/>
      <c r="S349" s="78"/>
      <c r="T349" s="78"/>
      <c r="U349" s="78"/>
      <c r="V349" s="78"/>
    </row>
    <row r="350" ht="15.75" customHeight="1">
      <c r="P350" s="78"/>
      <c r="Q350" s="78"/>
      <c r="R350" s="78"/>
      <c r="S350" s="78"/>
      <c r="T350" s="78"/>
      <c r="U350" s="78"/>
      <c r="V350" s="78"/>
    </row>
    <row r="351" ht="15.75" customHeight="1">
      <c r="P351" s="78"/>
      <c r="Q351" s="78"/>
      <c r="R351" s="78"/>
      <c r="S351" s="78"/>
      <c r="T351" s="78"/>
      <c r="U351" s="78"/>
      <c r="V351" s="78"/>
    </row>
    <row r="352" ht="15.75" customHeight="1">
      <c r="P352" s="78"/>
      <c r="Q352" s="78"/>
      <c r="R352" s="78"/>
      <c r="S352" s="78"/>
      <c r="T352" s="78"/>
      <c r="U352" s="78"/>
      <c r="V352" s="78"/>
    </row>
    <row r="353" ht="15.75" customHeight="1">
      <c r="P353" s="78"/>
      <c r="Q353" s="78"/>
      <c r="R353" s="78"/>
      <c r="S353" s="78"/>
      <c r="T353" s="78"/>
      <c r="U353" s="78"/>
      <c r="V353" s="78"/>
    </row>
    <row r="354" ht="15.75" customHeight="1">
      <c r="P354" s="78"/>
      <c r="Q354" s="78"/>
      <c r="R354" s="78"/>
      <c r="S354" s="78"/>
      <c r="T354" s="78"/>
      <c r="U354" s="78"/>
      <c r="V354" s="78"/>
    </row>
    <row r="355" ht="15.75" customHeight="1">
      <c r="P355" s="78"/>
      <c r="Q355" s="78"/>
      <c r="R355" s="78"/>
      <c r="S355" s="78"/>
      <c r="T355" s="78"/>
      <c r="U355" s="78"/>
      <c r="V355" s="78"/>
    </row>
    <row r="356" ht="15.75" customHeight="1">
      <c r="P356" s="78"/>
      <c r="Q356" s="78"/>
      <c r="R356" s="78"/>
      <c r="S356" s="78"/>
      <c r="T356" s="78"/>
      <c r="U356" s="78"/>
      <c r="V356" s="78"/>
    </row>
    <row r="357" ht="15.75" customHeight="1">
      <c r="P357" s="78"/>
      <c r="Q357" s="78"/>
      <c r="R357" s="78"/>
      <c r="S357" s="78"/>
      <c r="T357" s="78"/>
      <c r="U357" s="78"/>
      <c r="V357" s="78"/>
    </row>
    <row r="358" ht="15.75" customHeight="1">
      <c r="P358" s="78"/>
      <c r="Q358" s="78"/>
      <c r="R358" s="78"/>
      <c r="S358" s="78"/>
      <c r="T358" s="78"/>
      <c r="U358" s="78"/>
      <c r="V358" s="78"/>
    </row>
    <row r="359" ht="15.75" customHeight="1">
      <c r="P359" s="78"/>
      <c r="Q359" s="78"/>
      <c r="R359" s="78"/>
      <c r="S359" s="78"/>
      <c r="T359" s="78"/>
      <c r="U359" s="78"/>
      <c r="V359" s="78"/>
    </row>
    <row r="360" ht="15.75" customHeight="1">
      <c r="P360" s="78"/>
      <c r="Q360" s="78"/>
      <c r="R360" s="78"/>
      <c r="S360" s="78"/>
      <c r="T360" s="78"/>
      <c r="U360" s="78"/>
      <c r="V360" s="78"/>
    </row>
    <row r="361" ht="15.75" customHeight="1">
      <c r="P361" s="78"/>
      <c r="Q361" s="78"/>
      <c r="R361" s="78"/>
      <c r="S361" s="78"/>
      <c r="T361" s="78"/>
      <c r="U361" s="78"/>
      <c r="V361" s="78"/>
    </row>
    <row r="362" ht="15.75" customHeight="1">
      <c r="P362" s="78"/>
      <c r="Q362" s="78"/>
      <c r="R362" s="78"/>
      <c r="S362" s="78"/>
      <c r="T362" s="78"/>
      <c r="U362" s="78"/>
      <c r="V362" s="78"/>
    </row>
    <row r="363" ht="15.75" customHeight="1">
      <c r="P363" s="78"/>
      <c r="Q363" s="78"/>
      <c r="R363" s="78"/>
      <c r="S363" s="78"/>
      <c r="T363" s="78"/>
      <c r="U363" s="78"/>
      <c r="V363" s="78"/>
    </row>
    <row r="364" ht="15.75" customHeight="1">
      <c r="P364" s="78"/>
      <c r="Q364" s="78"/>
      <c r="R364" s="78"/>
      <c r="S364" s="78"/>
      <c r="T364" s="78"/>
      <c r="U364" s="78"/>
      <c r="V364" s="78"/>
    </row>
    <row r="365" ht="15.75" customHeight="1">
      <c r="P365" s="78"/>
      <c r="Q365" s="78"/>
      <c r="R365" s="78"/>
      <c r="S365" s="78"/>
      <c r="T365" s="78"/>
      <c r="U365" s="78"/>
      <c r="V365" s="78"/>
    </row>
    <row r="366" ht="15.75" customHeight="1">
      <c r="P366" s="78"/>
      <c r="Q366" s="78"/>
      <c r="R366" s="78"/>
      <c r="S366" s="78"/>
      <c r="T366" s="78"/>
      <c r="U366" s="78"/>
      <c r="V366" s="78"/>
    </row>
    <row r="367" ht="15.75" customHeight="1">
      <c r="P367" s="78"/>
      <c r="Q367" s="78"/>
      <c r="R367" s="78"/>
      <c r="S367" s="78"/>
      <c r="T367" s="78"/>
      <c r="U367" s="78"/>
      <c r="V367" s="78"/>
    </row>
    <row r="368" ht="15.75" customHeight="1">
      <c r="P368" s="78"/>
      <c r="Q368" s="78"/>
      <c r="R368" s="78"/>
      <c r="S368" s="78"/>
      <c r="T368" s="78"/>
      <c r="U368" s="78"/>
      <c r="V368" s="78"/>
    </row>
    <row r="369" ht="15.75" customHeight="1">
      <c r="P369" s="78"/>
      <c r="Q369" s="78"/>
      <c r="R369" s="78"/>
      <c r="S369" s="78"/>
      <c r="T369" s="78"/>
      <c r="U369" s="78"/>
      <c r="V369" s="78"/>
    </row>
    <row r="370" ht="15.75" customHeight="1">
      <c r="P370" s="78"/>
      <c r="Q370" s="78"/>
      <c r="R370" s="78"/>
      <c r="S370" s="78"/>
      <c r="T370" s="78"/>
      <c r="U370" s="78"/>
      <c r="V370" s="78"/>
    </row>
    <row r="371" ht="15.75" customHeight="1">
      <c r="P371" s="78"/>
      <c r="Q371" s="78"/>
      <c r="R371" s="78"/>
      <c r="S371" s="78"/>
      <c r="T371" s="78"/>
      <c r="U371" s="78"/>
      <c r="V371" s="78"/>
    </row>
    <row r="372" ht="15.75" customHeight="1">
      <c r="P372" s="78"/>
      <c r="Q372" s="78"/>
      <c r="R372" s="78"/>
      <c r="S372" s="78"/>
      <c r="T372" s="78"/>
      <c r="U372" s="78"/>
      <c r="V372" s="78"/>
    </row>
    <row r="373" ht="15.75" customHeight="1">
      <c r="P373" s="78"/>
      <c r="Q373" s="78"/>
      <c r="R373" s="78"/>
      <c r="S373" s="78"/>
      <c r="T373" s="78"/>
      <c r="U373" s="78"/>
      <c r="V373" s="78"/>
    </row>
    <row r="374" ht="15.75" customHeight="1">
      <c r="P374" s="78"/>
      <c r="Q374" s="78"/>
      <c r="R374" s="78"/>
      <c r="S374" s="78"/>
      <c r="T374" s="78"/>
      <c r="U374" s="78"/>
      <c r="V374" s="78"/>
    </row>
    <row r="375" ht="15.75" customHeight="1">
      <c r="P375" s="78"/>
      <c r="Q375" s="78"/>
      <c r="R375" s="78"/>
      <c r="S375" s="78"/>
      <c r="T375" s="78"/>
      <c r="U375" s="78"/>
      <c r="V375" s="78"/>
    </row>
    <row r="376" ht="15.75" customHeight="1">
      <c r="P376" s="78"/>
      <c r="Q376" s="78"/>
      <c r="R376" s="78"/>
      <c r="S376" s="78"/>
      <c r="T376" s="78"/>
      <c r="U376" s="78"/>
      <c r="V376" s="78"/>
    </row>
    <row r="377" ht="15.75" customHeight="1">
      <c r="P377" s="78"/>
      <c r="Q377" s="78"/>
      <c r="R377" s="78"/>
      <c r="S377" s="78"/>
      <c r="T377" s="78"/>
      <c r="U377" s="78"/>
      <c r="V377" s="78"/>
    </row>
    <row r="378" ht="15.75" customHeight="1">
      <c r="P378" s="78"/>
      <c r="Q378" s="78"/>
      <c r="R378" s="78"/>
      <c r="S378" s="78"/>
      <c r="T378" s="78"/>
      <c r="U378" s="78"/>
      <c r="V378" s="78"/>
    </row>
    <row r="379" ht="15.75" customHeight="1">
      <c r="P379" s="78"/>
      <c r="Q379" s="78"/>
      <c r="R379" s="78"/>
      <c r="S379" s="78"/>
      <c r="T379" s="78"/>
      <c r="U379" s="78"/>
      <c r="V379" s="78"/>
    </row>
    <row r="380" ht="15.75" customHeight="1">
      <c r="P380" s="78"/>
      <c r="Q380" s="78"/>
      <c r="R380" s="78"/>
      <c r="S380" s="78"/>
      <c r="T380" s="78"/>
      <c r="U380" s="78"/>
      <c r="V380" s="78"/>
    </row>
    <row r="381" ht="15.75" customHeight="1">
      <c r="P381" s="78"/>
      <c r="Q381" s="78"/>
      <c r="R381" s="78"/>
      <c r="S381" s="78"/>
      <c r="T381" s="78"/>
      <c r="U381" s="78"/>
      <c r="V381" s="78"/>
    </row>
    <row r="382" ht="15.75" customHeight="1">
      <c r="P382" s="78"/>
      <c r="Q382" s="78"/>
      <c r="R382" s="78"/>
      <c r="S382" s="78"/>
      <c r="T382" s="78"/>
      <c r="U382" s="78"/>
      <c r="V382" s="78"/>
    </row>
    <row r="383" ht="15.75" customHeight="1">
      <c r="P383" s="78"/>
      <c r="Q383" s="78"/>
      <c r="R383" s="78"/>
      <c r="S383" s="78"/>
      <c r="T383" s="78"/>
      <c r="U383" s="78"/>
      <c r="V383" s="78"/>
    </row>
    <row r="384" ht="15.75" customHeight="1">
      <c r="P384" s="78"/>
      <c r="Q384" s="78"/>
      <c r="R384" s="78"/>
      <c r="S384" s="78"/>
      <c r="T384" s="78"/>
      <c r="U384" s="78"/>
      <c r="V384" s="78"/>
    </row>
    <row r="385" ht="15.75" customHeight="1">
      <c r="P385" s="78"/>
      <c r="Q385" s="78"/>
      <c r="R385" s="78"/>
      <c r="S385" s="78"/>
      <c r="T385" s="78"/>
      <c r="U385" s="78"/>
      <c r="V385" s="78"/>
    </row>
    <row r="386" ht="15.75" customHeight="1">
      <c r="P386" s="78"/>
      <c r="Q386" s="78"/>
      <c r="R386" s="78"/>
      <c r="S386" s="78"/>
      <c r="T386" s="78"/>
      <c r="U386" s="78"/>
      <c r="V386" s="78"/>
    </row>
    <row r="387" ht="15.75" customHeight="1">
      <c r="P387" s="78"/>
      <c r="Q387" s="78"/>
      <c r="R387" s="78"/>
      <c r="S387" s="78"/>
      <c r="T387" s="78"/>
      <c r="U387" s="78"/>
      <c r="V387" s="78"/>
    </row>
    <row r="388" ht="15.75" customHeight="1">
      <c r="P388" s="78"/>
      <c r="Q388" s="78"/>
      <c r="R388" s="78"/>
      <c r="S388" s="78"/>
      <c r="T388" s="78"/>
      <c r="U388" s="78"/>
      <c r="V388" s="78"/>
    </row>
    <row r="389" ht="15.75" customHeight="1">
      <c r="P389" s="78"/>
      <c r="Q389" s="78"/>
      <c r="R389" s="78"/>
      <c r="S389" s="78"/>
      <c r="T389" s="78"/>
      <c r="U389" s="78"/>
      <c r="V389" s="78"/>
    </row>
    <row r="390" ht="15.75" customHeight="1">
      <c r="P390" s="78"/>
      <c r="Q390" s="78"/>
      <c r="R390" s="78"/>
      <c r="S390" s="78"/>
      <c r="T390" s="78"/>
      <c r="U390" s="78"/>
      <c r="V390" s="78"/>
    </row>
    <row r="391" ht="15.75" customHeight="1">
      <c r="P391" s="78"/>
      <c r="Q391" s="78"/>
      <c r="R391" s="78"/>
      <c r="S391" s="78"/>
      <c r="T391" s="78"/>
      <c r="U391" s="78"/>
      <c r="V391" s="78"/>
    </row>
    <row r="392" ht="15.75" customHeight="1">
      <c r="P392" s="78"/>
      <c r="Q392" s="78"/>
      <c r="R392" s="78"/>
      <c r="S392" s="78"/>
      <c r="T392" s="78"/>
      <c r="U392" s="78"/>
      <c r="V392" s="78"/>
    </row>
    <row r="393" ht="15.75" customHeight="1">
      <c r="P393" s="78"/>
      <c r="Q393" s="78"/>
      <c r="R393" s="78"/>
      <c r="S393" s="78"/>
      <c r="T393" s="78"/>
      <c r="U393" s="78"/>
      <c r="V393" s="78"/>
    </row>
    <row r="394" ht="15.75" customHeight="1">
      <c r="P394" s="78"/>
      <c r="Q394" s="78"/>
      <c r="R394" s="78"/>
      <c r="S394" s="78"/>
      <c r="T394" s="78"/>
      <c r="U394" s="78"/>
      <c r="V394" s="78"/>
    </row>
    <row r="395" ht="15.75" customHeight="1">
      <c r="P395" s="78"/>
      <c r="Q395" s="78"/>
      <c r="R395" s="78"/>
      <c r="S395" s="78"/>
      <c r="T395" s="78"/>
      <c r="U395" s="78"/>
      <c r="V395" s="78"/>
    </row>
    <row r="396" ht="15.75" customHeight="1">
      <c r="P396" s="78"/>
      <c r="Q396" s="78"/>
      <c r="R396" s="78"/>
      <c r="S396" s="78"/>
      <c r="T396" s="78"/>
      <c r="U396" s="78"/>
      <c r="V396" s="78"/>
    </row>
    <row r="397" ht="15.75" customHeight="1">
      <c r="P397" s="78"/>
      <c r="Q397" s="78"/>
      <c r="R397" s="78"/>
      <c r="S397" s="78"/>
      <c r="T397" s="78"/>
      <c r="U397" s="78"/>
      <c r="V397" s="78"/>
    </row>
    <row r="398" ht="15.75" customHeight="1">
      <c r="P398" s="78"/>
      <c r="Q398" s="78"/>
      <c r="R398" s="78"/>
      <c r="S398" s="78"/>
      <c r="T398" s="78"/>
      <c r="U398" s="78"/>
      <c r="V398" s="78"/>
    </row>
    <row r="399" ht="15.75" customHeight="1">
      <c r="P399" s="78"/>
      <c r="Q399" s="78"/>
      <c r="R399" s="78"/>
      <c r="S399" s="78"/>
      <c r="T399" s="78"/>
      <c r="U399" s="78"/>
      <c r="V399" s="78"/>
    </row>
    <row r="400" ht="15.75" customHeight="1">
      <c r="P400" s="78"/>
      <c r="Q400" s="78"/>
      <c r="R400" s="78"/>
      <c r="S400" s="78"/>
      <c r="T400" s="78"/>
      <c r="U400" s="78"/>
      <c r="V400" s="78"/>
    </row>
    <row r="401" ht="15.75" customHeight="1">
      <c r="P401" s="78"/>
      <c r="Q401" s="78"/>
      <c r="R401" s="78"/>
      <c r="S401" s="78"/>
      <c r="T401" s="78"/>
      <c r="U401" s="78"/>
      <c r="V401" s="78"/>
    </row>
    <row r="402" ht="15.75" customHeight="1">
      <c r="P402" s="78"/>
      <c r="Q402" s="78"/>
      <c r="R402" s="78"/>
      <c r="S402" s="78"/>
      <c r="T402" s="78"/>
      <c r="U402" s="78"/>
      <c r="V402" s="78"/>
    </row>
    <row r="403" ht="15.75" customHeight="1">
      <c r="P403" s="78"/>
      <c r="Q403" s="78"/>
      <c r="R403" s="78"/>
      <c r="S403" s="78"/>
      <c r="T403" s="78"/>
      <c r="U403" s="78"/>
      <c r="V403" s="78"/>
    </row>
    <row r="404" ht="15.75" customHeight="1">
      <c r="P404" s="78"/>
      <c r="Q404" s="78"/>
      <c r="R404" s="78"/>
      <c r="S404" s="78"/>
      <c r="T404" s="78"/>
      <c r="U404" s="78"/>
      <c r="V404" s="78"/>
    </row>
    <row r="405" ht="15.75" customHeight="1">
      <c r="P405" s="78"/>
      <c r="Q405" s="78"/>
      <c r="R405" s="78"/>
      <c r="S405" s="78"/>
      <c r="T405" s="78"/>
      <c r="U405" s="78"/>
      <c r="V405" s="78"/>
    </row>
    <row r="406" ht="15.75" customHeight="1">
      <c r="P406" s="78"/>
      <c r="Q406" s="78"/>
      <c r="R406" s="78"/>
      <c r="S406" s="78"/>
      <c r="T406" s="78"/>
      <c r="U406" s="78"/>
      <c r="V406" s="78"/>
    </row>
    <row r="407" ht="15.75" customHeight="1">
      <c r="P407" s="78"/>
      <c r="Q407" s="78"/>
      <c r="R407" s="78"/>
      <c r="S407" s="78"/>
      <c r="T407" s="78"/>
      <c r="U407" s="78"/>
      <c r="V407" s="78"/>
    </row>
    <row r="408" ht="15.75" customHeight="1">
      <c r="P408" s="78"/>
      <c r="Q408" s="78"/>
      <c r="R408" s="78"/>
      <c r="S408" s="78"/>
      <c r="T408" s="78"/>
      <c r="U408" s="78"/>
      <c r="V408" s="78"/>
    </row>
    <row r="409" ht="15.75" customHeight="1">
      <c r="P409" s="78"/>
      <c r="Q409" s="78"/>
      <c r="R409" s="78"/>
      <c r="S409" s="78"/>
      <c r="T409" s="78"/>
      <c r="U409" s="78"/>
      <c r="V409" s="78"/>
    </row>
    <row r="410" ht="15.75" customHeight="1">
      <c r="P410" s="78"/>
      <c r="Q410" s="78"/>
      <c r="R410" s="78"/>
      <c r="S410" s="78"/>
      <c r="T410" s="78"/>
      <c r="U410" s="78"/>
      <c r="V410" s="78"/>
    </row>
    <row r="411" ht="15.75" customHeight="1">
      <c r="P411" s="78"/>
      <c r="Q411" s="78"/>
      <c r="R411" s="78"/>
      <c r="S411" s="78"/>
      <c r="T411" s="78"/>
      <c r="U411" s="78"/>
      <c r="V411" s="78"/>
    </row>
    <row r="412" ht="15.75" customHeight="1">
      <c r="P412" s="78"/>
      <c r="Q412" s="78"/>
      <c r="R412" s="78"/>
      <c r="S412" s="78"/>
      <c r="T412" s="78"/>
      <c r="U412" s="78"/>
      <c r="V412" s="78"/>
    </row>
    <row r="413" ht="15.75" customHeight="1">
      <c r="P413" s="78"/>
      <c r="Q413" s="78"/>
      <c r="R413" s="78"/>
      <c r="S413" s="78"/>
      <c r="T413" s="78"/>
      <c r="U413" s="78"/>
      <c r="V413" s="78"/>
    </row>
    <row r="414" ht="15.75" customHeight="1">
      <c r="P414" s="78"/>
      <c r="Q414" s="78"/>
      <c r="R414" s="78"/>
      <c r="S414" s="78"/>
      <c r="T414" s="78"/>
      <c r="U414" s="78"/>
      <c r="V414" s="78"/>
    </row>
    <row r="415" ht="15.75" customHeight="1">
      <c r="P415" s="78"/>
      <c r="Q415" s="78"/>
      <c r="R415" s="78"/>
      <c r="S415" s="78"/>
      <c r="T415" s="78"/>
      <c r="U415" s="78"/>
      <c r="V415" s="78"/>
    </row>
    <row r="416" ht="15.75" customHeight="1">
      <c r="P416" s="78"/>
      <c r="Q416" s="78"/>
      <c r="R416" s="78"/>
      <c r="S416" s="78"/>
      <c r="T416" s="78"/>
      <c r="U416" s="78"/>
      <c r="V416" s="78"/>
    </row>
    <row r="417" ht="15.75" customHeight="1">
      <c r="P417" s="78"/>
      <c r="Q417" s="78"/>
      <c r="R417" s="78"/>
      <c r="S417" s="78"/>
      <c r="T417" s="78"/>
      <c r="U417" s="78"/>
      <c r="V417" s="78"/>
    </row>
    <row r="418" ht="15.75" customHeight="1">
      <c r="P418" s="78"/>
      <c r="Q418" s="78"/>
      <c r="R418" s="78"/>
      <c r="S418" s="78"/>
      <c r="T418" s="78"/>
      <c r="U418" s="78"/>
      <c r="V418" s="78"/>
    </row>
    <row r="419" ht="15.75" customHeight="1">
      <c r="P419" s="78"/>
      <c r="Q419" s="78"/>
      <c r="R419" s="78"/>
      <c r="S419" s="78"/>
      <c r="T419" s="78"/>
      <c r="U419" s="78"/>
      <c r="V419" s="78"/>
    </row>
    <row r="420" ht="15.75" customHeight="1">
      <c r="P420" s="78"/>
      <c r="Q420" s="78"/>
      <c r="R420" s="78"/>
      <c r="S420" s="78"/>
      <c r="T420" s="78"/>
      <c r="U420" s="78"/>
      <c r="V420" s="78"/>
    </row>
    <row r="421" ht="15.75" customHeight="1">
      <c r="P421" s="78"/>
      <c r="Q421" s="78"/>
      <c r="R421" s="78"/>
      <c r="S421" s="78"/>
      <c r="T421" s="78"/>
      <c r="U421" s="78"/>
      <c r="V421" s="78"/>
    </row>
    <row r="422" ht="15.75" customHeight="1">
      <c r="P422" s="78"/>
      <c r="Q422" s="78"/>
      <c r="R422" s="78"/>
      <c r="S422" s="78"/>
      <c r="T422" s="78"/>
      <c r="U422" s="78"/>
      <c r="V422" s="78"/>
    </row>
    <row r="423" ht="15.75" customHeight="1">
      <c r="P423" s="78"/>
      <c r="Q423" s="78"/>
      <c r="R423" s="78"/>
      <c r="S423" s="78"/>
      <c r="T423" s="78"/>
      <c r="U423" s="78"/>
      <c r="V423" s="78"/>
    </row>
    <row r="424" ht="15.75" customHeight="1">
      <c r="P424" s="78"/>
      <c r="Q424" s="78"/>
      <c r="R424" s="78"/>
      <c r="S424" s="78"/>
      <c r="T424" s="78"/>
      <c r="U424" s="78"/>
      <c r="V424" s="78"/>
    </row>
    <row r="425" ht="15.75" customHeight="1">
      <c r="P425" s="78"/>
      <c r="Q425" s="78"/>
      <c r="R425" s="78"/>
      <c r="S425" s="78"/>
      <c r="T425" s="78"/>
      <c r="U425" s="78"/>
      <c r="V425" s="78"/>
    </row>
    <row r="426" ht="15.75" customHeight="1">
      <c r="P426" s="78"/>
      <c r="Q426" s="78"/>
      <c r="R426" s="78"/>
      <c r="S426" s="78"/>
      <c r="T426" s="78"/>
      <c r="U426" s="78"/>
      <c r="V426" s="78"/>
    </row>
    <row r="427" ht="15.75" customHeight="1">
      <c r="P427" s="78"/>
      <c r="Q427" s="78"/>
      <c r="R427" s="78"/>
      <c r="S427" s="78"/>
      <c r="T427" s="78"/>
      <c r="U427" s="78"/>
      <c r="V427" s="78"/>
    </row>
    <row r="428" ht="15.75" customHeight="1">
      <c r="P428" s="78"/>
      <c r="Q428" s="78"/>
      <c r="R428" s="78"/>
      <c r="S428" s="78"/>
      <c r="T428" s="78"/>
      <c r="U428" s="78"/>
      <c r="V428" s="78"/>
    </row>
    <row r="429" ht="15.75" customHeight="1">
      <c r="P429" s="78"/>
      <c r="Q429" s="78"/>
      <c r="R429" s="78"/>
      <c r="S429" s="78"/>
      <c r="T429" s="78"/>
      <c r="U429" s="78"/>
      <c r="V429" s="78"/>
    </row>
    <row r="430" ht="15.75" customHeight="1">
      <c r="P430" s="78"/>
      <c r="Q430" s="78"/>
      <c r="R430" s="78"/>
      <c r="S430" s="78"/>
      <c r="T430" s="78"/>
      <c r="U430" s="78"/>
      <c r="V430" s="78"/>
    </row>
    <row r="431" ht="15.75" customHeight="1">
      <c r="P431" s="78"/>
      <c r="Q431" s="78"/>
      <c r="R431" s="78"/>
      <c r="S431" s="78"/>
      <c r="T431" s="78"/>
      <c r="U431" s="78"/>
      <c r="V431" s="78"/>
    </row>
    <row r="432" ht="15.75" customHeight="1">
      <c r="P432" s="78"/>
      <c r="Q432" s="78"/>
      <c r="R432" s="78"/>
      <c r="S432" s="78"/>
      <c r="T432" s="78"/>
      <c r="U432" s="78"/>
      <c r="V432" s="78"/>
    </row>
    <row r="433" ht="15.75" customHeight="1">
      <c r="P433" s="78"/>
      <c r="Q433" s="78"/>
      <c r="R433" s="78"/>
      <c r="S433" s="78"/>
      <c r="T433" s="78"/>
      <c r="U433" s="78"/>
      <c r="V433" s="78"/>
    </row>
    <row r="434" ht="15.75" customHeight="1">
      <c r="P434" s="78"/>
      <c r="Q434" s="78"/>
      <c r="R434" s="78"/>
      <c r="S434" s="78"/>
      <c r="T434" s="78"/>
      <c r="U434" s="78"/>
      <c r="V434" s="78"/>
    </row>
    <row r="435" ht="15.75" customHeight="1">
      <c r="P435" s="78"/>
      <c r="Q435" s="78"/>
      <c r="R435" s="78"/>
      <c r="S435" s="78"/>
      <c r="T435" s="78"/>
      <c r="U435" s="78"/>
      <c r="V435" s="78"/>
    </row>
    <row r="436" ht="15.75" customHeight="1">
      <c r="P436" s="78"/>
      <c r="Q436" s="78"/>
      <c r="R436" s="78"/>
      <c r="S436" s="78"/>
      <c r="T436" s="78"/>
      <c r="U436" s="78"/>
      <c r="V436" s="78"/>
    </row>
    <row r="437" ht="15.75" customHeight="1">
      <c r="P437" s="78"/>
      <c r="Q437" s="78"/>
      <c r="R437" s="78"/>
      <c r="S437" s="78"/>
      <c r="T437" s="78"/>
      <c r="U437" s="78"/>
      <c r="V437" s="78"/>
    </row>
    <row r="438" ht="15.75" customHeight="1">
      <c r="P438" s="78"/>
      <c r="Q438" s="78"/>
      <c r="R438" s="78"/>
      <c r="S438" s="78"/>
      <c r="T438" s="78"/>
      <c r="U438" s="78"/>
      <c r="V438" s="78"/>
    </row>
    <row r="439" ht="15.75" customHeight="1">
      <c r="P439" s="78"/>
      <c r="Q439" s="78"/>
      <c r="R439" s="78"/>
      <c r="S439" s="78"/>
      <c r="T439" s="78"/>
      <c r="U439" s="78"/>
      <c r="V439" s="78"/>
    </row>
    <row r="440" ht="15.75" customHeight="1">
      <c r="P440" s="78"/>
      <c r="Q440" s="78"/>
      <c r="R440" s="78"/>
      <c r="S440" s="78"/>
      <c r="T440" s="78"/>
      <c r="U440" s="78"/>
      <c r="V440" s="78"/>
    </row>
    <row r="441" ht="15.75" customHeight="1">
      <c r="P441" s="78"/>
      <c r="Q441" s="78"/>
      <c r="R441" s="78"/>
      <c r="S441" s="78"/>
      <c r="T441" s="78"/>
      <c r="U441" s="78"/>
      <c r="V441" s="78"/>
    </row>
    <row r="442" ht="15.75" customHeight="1">
      <c r="P442" s="78"/>
      <c r="Q442" s="78"/>
      <c r="R442" s="78"/>
      <c r="S442" s="78"/>
      <c r="T442" s="78"/>
      <c r="U442" s="78"/>
      <c r="V442" s="78"/>
    </row>
    <row r="443" ht="15.75" customHeight="1">
      <c r="P443" s="78"/>
      <c r="Q443" s="78"/>
      <c r="R443" s="78"/>
      <c r="S443" s="78"/>
      <c r="T443" s="78"/>
      <c r="U443" s="78"/>
      <c r="V443" s="78"/>
    </row>
    <row r="444" ht="15.75" customHeight="1">
      <c r="P444" s="78"/>
      <c r="Q444" s="78"/>
      <c r="R444" s="78"/>
      <c r="S444" s="78"/>
      <c r="T444" s="78"/>
      <c r="U444" s="78"/>
      <c r="V444" s="78"/>
    </row>
    <row r="445" ht="15.75" customHeight="1">
      <c r="P445" s="78"/>
      <c r="Q445" s="78"/>
      <c r="R445" s="78"/>
      <c r="S445" s="78"/>
      <c r="T445" s="78"/>
      <c r="U445" s="78"/>
      <c r="V445" s="78"/>
    </row>
    <row r="446" ht="15.75" customHeight="1">
      <c r="P446" s="78"/>
      <c r="Q446" s="78"/>
      <c r="R446" s="78"/>
      <c r="S446" s="78"/>
      <c r="T446" s="78"/>
      <c r="U446" s="78"/>
      <c r="V446" s="78"/>
    </row>
    <row r="447" ht="15.75" customHeight="1">
      <c r="P447" s="78"/>
      <c r="Q447" s="78"/>
      <c r="R447" s="78"/>
      <c r="S447" s="78"/>
      <c r="T447" s="78"/>
      <c r="U447" s="78"/>
      <c r="V447" s="78"/>
    </row>
    <row r="448" ht="15.75" customHeight="1">
      <c r="P448" s="78"/>
      <c r="Q448" s="78"/>
      <c r="R448" s="78"/>
      <c r="S448" s="78"/>
      <c r="T448" s="78"/>
      <c r="U448" s="78"/>
      <c r="V448" s="78"/>
    </row>
    <row r="449" ht="15.75" customHeight="1">
      <c r="P449" s="78"/>
      <c r="Q449" s="78"/>
      <c r="R449" s="78"/>
      <c r="S449" s="78"/>
      <c r="T449" s="78"/>
      <c r="U449" s="78"/>
      <c r="V449" s="78"/>
    </row>
    <row r="450" ht="15.75" customHeight="1">
      <c r="P450" s="78"/>
      <c r="Q450" s="78"/>
      <c r="R450" s="78"/>
      <c r="S450" s="78"/>
      <c r="T450" s="78"/>
      <c r="U450" s="78"/>
      <c r="V450" s="78"/>
    </row>
    <row r="451" ht="15.75" customHeight="1">
      <c r="P451" s="78"/>
      <c r="Q451" s="78"/>
      <c r="R451" s="78"/>
      <c r="S451" s="78"/>
      <c r="T451" s="78"/>
      <c r="U451" s="78"/>
      <c r="V451" s="78"/>
    </row>
    <row r="452" ht="15.75" customHeight="1">
      <c r="P452" s="78"/>
      <c r="Q452" s="78"/>
      <c r="R452" s="78"/>
      <c r="S452" s="78"/>
      <c r="T452" s="78"/>
      <c r="U452" s="78"/>
      <c r="V452" s="78"/>
    </row>
    <row r="453" ht="15.75" customHeight="1">
      <c r="P453" s="78"/>
      <c r="Q453" s="78"/>
      <c r="R453" s="78"/>
      <c r="S453" s="78"/>
      <c r="T453" s="78"/>
      <c r="U453" s="78"/>
      <c r="V453" s="78"/>
    </row>
    <row r="454" ht="15.75" customHeight="1">
      <c r="P454" s="78"/>
      <c r="Q454" s="78"/>
      <c r="R454" s="78"/>
      <c r="S454" s="78"/>
      <c r="T454" s="78"/>
      <c r="U454" s="78"/>
      <c r="V454" s="78"/>
    </row>
    <row r="455" ht="15.75" customHeight="1">
      <c r="P455" s="78"/>
      <c r="Q455" s="78"/>
      <c r="R455" s="78"/>
      <c r="S455" s="78"/>
      <c r="T455" s="78"/>
      <c r="U455" s="78"/>
      <c r="V455" s="78"/>
    </row>
    <row r="456" ht="15.75" customHeight="1">
      <c r="P456" s="78"/>
      <c r="Q456" s="78"/>
      <c r="R456" s="78"/>
      <c r="S456" s="78"/>
      <c r="T456" s="78"/>
      <c r="U456" s="78"/>
      <c r="V456" s="78"/>
    </row>
    <row r="457" ht="15.75" customHeight="1">
      <c r="P457" s="78"/>
      <c r="Q457" s="78"/>
      <c r="R457" s="78"/>
      <c r="S457" s="78"/>
      <c r="T457" s="78"/>
      <c r="U457" s="78"/>
      <c r="V457" s="78"/>
    </row>
    <row r="458" ht="15.75" customHeight="1">
      <c r="P458" s="78"/>
      <c r="Q458" s="78"/>
      <c r="R458" s="78"/>
      <c r="S458" s="78"/>
      <c r="T458" s="78"/>
      <c r="U458" s="78"/>
      <c r="V458" s="78"/>
    </row>
    <row r="459" ht="15.75" customHeight="1">
      <c r="P459" s="78"/>
      <c r="Q459" s="78"/>
      <c r="R459" s="78"/>
      <c r="S459" s="78"/>
      <c r="T459" s="78"/>
      <c r="U459" s="78"/>
      <c r="V459" s="78"/>
    </row>
    <row r="460" ht="15.75" customHeight="1">
      <c r="P460" s="78"/>
      <c r="Q460" s="78"/>
      <c r="R460" s="78"/>
      <c r="S460" s="78"/>
      <c r="T460" s="78"/>
      <c r="U460" s="78"/>
      <c r="V460" s="78"/>
    </row>
    <row r="461" ht="15.75" customHeight="1">
      <c r="P461" s="78"/>
      <c r="Q461" s="78"/>
      <c r="R461" s="78"/>
      <c r="S461" s="78"/>
      <c r="T461" s="78"/>
      <c r="U461" s="78"/>
      <c r="V461" s="78"/>
    </row>
    <row r="462" ht="15.75" customHeight="1">
      <c r="P462" s="78"/>
      <c r="Q462" s="78"/>
      <c r="R462" s="78"/>
      <c r="S462" s="78"/>
      <c r="T462" s="78"/>
      <c r="U462" s="78"/>
      <c r="V462" s="78"/>
    </row>
    <row r="463" ht="15.75" customHeight="1">
      <c r="P463" s="78"/>
      <c r="Q463" s="78"/>
      <c r="R463" s="78"/>
      <c r="S463" s="78"/>
      <c r="T463" s="78"/>
      <c r="U463" s="78"/>
      <c r="V463" s="78"/>
    </row>
    <row r="464" ht="15.75" customHeight="1">
      <c r="P464" s="78"/>
      <c r="Q464" s="78"/>
      <c r="R464" s="78"/>
      <c r="S464" s="78"/>
      <c r="T464" s="78"/>
      <c r="U464" s="78"/>
      <c r="V464" s="78"/>
    </row>
    <row r="465" ht="15.75" customHeight="1">
      <c r="P465" s="78"/>
      <c r="Q465" s="78"/>
      <c r="R465" s="78"/>
      <c r="S465" s="78"/>
      <c r="T465" s="78"/>
      <c r="U465" s="78"/>
      <c r="V465" s="78"/>
    </row>
    <row r="466" ht="15.75" customHeight="1">
      <c r="P466" s="78"/>
      <c r="Q466" s="78"/>
      <c r="R466" s="78"/>
      <c r="S466" s="78"/>
      <c r="T466" s="78"/>
      <c r="U466" s="78"/>
      <c r="V466" s="78"/>
    </row>
    <row r="467" ht="15.75" customHeight="1">
      <c r="P467" s="78"/>
      <c r="Q467" s="78"/>
      <c r="R467" s="78"/>
      <c r="S467" s="78"/>
      <c r="T467" s="78"/>
      <c r="U467" s="78"/>
      <c r="V467" s="78"/>
    </row>
    <row r="468" ht="15.75" customHeight="1">
      <c r="P468" s="78"/>
      <c r="Q468" s="78"/>
      <c r="R468" s="78"/>
      <c r="S468" s="78"/>
      <c r="T468" s="78"/>
      <c r="U468" s="78"/>
      <c r="V468" s="78"/>
    </row>
    <row r="469" ht="15.75" customHeight="1">
      <c r="P469" s="78"/>
      <c r="Q469" s="78"/>
      <c r="R469" s="78"/>
      <c r="S469" s="78"/>
      <c r="T469" s="78"/>
      <c r="U469" s="78"/>
      <c r="V469" s="78"/>
    </row>
    <row r="470" ht="15.75" customHeight="1">
      <c r="P470" s="78"/>
      <c r="Q470" s="78"/>
      <c r="R470" s="78"/>
      <c r="S470" s="78"/>
      <c r="T470" s="78"/>
      <c r="U470" s="78"/>
      <c r="V470" s="78"/>
    </row>
    <row r="471" ht="15.75" customHeight="1">
      <c r="P471" s="78"/>
      <c r="Q471" s="78"/>
      <c r="R471" s="78"/>
      <c r="S471" s="78"/>
      <c r="T471" s="78"/>
      <c r="U471" s="78"/>
      <c r="V471" s="78"/>
    </row>
    <row r="472" ht="15.75" customHeight="1">
      <c r="P472" s="78"/>
      <c r="Q472" s="78"/>
      <c r="R472" s="78"/>
      <c r="S472" s="78"/>
      <c r="T472" s="78"/>
      <c r="U472" s="78"/>
      <c r="V472" s="78"/>
    </row>
    <row r="473" ht="15.75" customHeight="1">
      <c r="P473" s="78"/>
      <c r="Q473" s="78"/>
      <c r="R473" s="78"/>
      <c r="S473" s="78"/>
      <c r="T473" s="78"/>
      <c r="U473" s="78"/>
      <c r="V473" s="78"/>
    </row>
    <row r="474" ht="15.75" customHeight="1">
      <c r="P474" s="78"/>
      <c r="Q474" s="78"/>
      <c r="R474" s="78"/>
      <c r="S474" s="78"/>
      <c r="T474" s="78"/>
      <c r="U474" s="78"/>
      <c r="V474" s="78"/>
    </row>
    <row r="475" ht="15.75" customHeight="1">
      <c r="P475" s="78"/>
      <c r="Q475" s="78"/>
      <c r="R475" s="78"/>
      <c r="S475" s="78"/>
      <c r="T475" s="78"/>
      <c r="U475" s="78"/>
      <c r="V475" s="78"/>
    </row>
    <row r="476" ht="15.75" customHeight="1">
      <c r="P476" s="78"/>
      <c r="Q476" s="78"/>
      <c r="R476" s="78"/>
      <c r="S476" s="78"/>
      <c r="T476" s="78"/>
      <c r="U476" s="78"/>
      <c r="V476" s="78"/>
    </row>
    <row r="477" ht="15.75" customHeight="1">
      <c r="P477" s="78"/>
      <c r="Q477" s="78"/>
      <c r="R477" s="78"/>
      <c r="S477" s="78"/>
      <c r="T477" s="78"/>
      <c r="U477" s="78"/>
      <c r="V477" s="78"/>
    </row>
    <row r="478" ht="15.75" customHeight="1">
      <c r="P478" s="78"/>
      <c r="Q478" s="78"/>
      <c r="R478" s="78"/>
      <c r="S478" s="78"/>
      <c r="T478" s="78"/>
      <c r="U478" s="78"/>
      <c r="V478" s="78"/>
    </row>
    <row r="479" ht="15.75" customHeight="1">
      <c r="P479" s="78"/>
      <c r="Q479" s="78"/>
      <c r="R479" s="78"/>
      <c r="S479" s="78"/>
      <c r="T479" s="78"/>
      <c r="U479" s="78"/>
      <c r="V479" s="78"/>
    </row>
    <row r="480" ht="15.75" customHeight="1">
      <c r="P480" s="78"/>
      <c r="Q480" s="78"/>
      <c r="R480" s="78"/>
      <c r="S480" s="78"/>
      <c r="T480" s="78"/>
      <c r="U480" s="78"/>
      <c r="V480" s="78"/>
    </row>
    <row r="481" ht="15.75" customHeight="1">
      <c r="P481" s="78"/>
      <c r="Q481" s="78"/>
      <c r="R481" s="78"/>
      <c r="S481" s="78"/>
      <c r="T481" s="78"/>
      <c r="U481" s="78"/>
      <c r="V481" s="78"/>
    </row>
    <row r="482" ht="15.75" customHeight="1">
      <c r="P482" s="78"/>
      <c r="Q482" s="78"/>
      <c r="R482" s="78"/>
      <c r="S482" s="78"/>
      <c r="T482" s="78"/>
      <c r="U482" s="78"/>
      <c r="V482" s="78"/>
    </row>
    <row r="483" ht="15.75" customHeight="1">
      <c r="P483" s="78"/>
      <c r="Q483" s="78"/>
      <c r="R483" s="78"/>
      <c r="S483" s="78"/>
      <c r="T483" s="78"/>
      <c r="U483" s="78"/>
      <c r="V483" s="78"/>
    </row>
    <row r="484" ht="15.75" customHeight="1">
      <c r="P484" s="78"/>
      <c r="Q484" s="78"/>
      <c r="R484" s="78"/>
      <c r="S484" s="78"/>
      <c r="T484" s="78"/>
      <c r="U484" s="78"/>
      <c r="V484" s="78"/>
    </row>
    <row r="485" ht="15.75" customHeight="1">
      <c r="P485" s="78"/>
      <c r="Q485" s="78"/>
      <c r="R485" s="78"/>
      <c r="S485" s="78"/>
      <c r="T485" s="78"/>
      <c r="U485" s="78"/>
      <c r="V485" s="78"/>
    </row>
    <row r="486" ht="15.75" customHeight="1">
      <c r="P486" s="78"/>
      <c r="Q486" s="78"/>
      <c r="R486" s="78"/>
      <c r="S486" s="78"/>
      <c r="T486" s="78"/>
      <c r="U486" s="78"/>
      <c r="V486" s="78"/>
    </row>
    <row r="487" ht="15.75" customHeight="1">
      <c r="P487" s="78"/>
      <c r="Q487" s="78"/>
      <c r="R487" s="78"/>
      <c r="S487" s="78"/>
      <c r="T487" s="78"/>
      <c r="U487" s="78"/>
      <c r="V487" s="78"/>
    </row>
    <row r="488" ht="15.75" customHeight="1">
      <c r="P488" s="78"/>
      <c r="Q488" s="78"/>
      <c r="R488" s="78"/>
      <c r="S488" s="78"/>
      <c r="T488" s="78"/>
      <c r="U488" s="78"/>
      <c r="V488" s="78"/>
    </row>
    <row r="489" ht="15.75" customHeight="1">
      <c r="P489" s="78"/>
      <c r="Q489" s="78"/>
      <c r="R489" s="78"/>
      <c r="S489" s="78"/>
      <c r="T489" s="78"/>
      <c r="U489" s="78"/>
      <c r="V489" s="78"/>
    </row>
    <row r="490" ht="15.75" customHeight="1">
      <c r="P490" s="78"/>
      <c r="Q490" s="78"/>
      <c r="R490" s="78"/>
      <c r="S490" s="78"/>
      <c r="T490" s="78"/>
      <c r="U490" s="78"/>
      <c r="V490" s="78"/>
    </row>
    <row r="491" ht="15.75" customHeight="1">
      <c r="P491" s="78"/>
      <c r="Q491" s="78"/>
      <c r="R491" s="78"/>
      <c r="S491" s="78"/>
      <c r="T491" s="78"/>
      <c r="U491" s="78"/>
      <c r="V491" s="78"/>
    </row>
    <row r="492" ht="15.75" customHeight="1">
      <c r="P492" s="78"/>
      <c r="Q492" s="78"/>
      <c r="R492" s="78"/>
      <c r="S492" s="78"/>
      <c r="T492" s="78"/>
      <c r="U492" s="78"/>
      <c r="V492" s="78"/>
    </row>
    <row r="493" ht="15.75" customHeight="1">
      <c r="P493" s="78"/>
      <c r="Q493" s="78"/>
      <c r="R493" s="78"/>
      <c r="S493" s="78"/>
      <c r="T493" s="78"/>
      <c r="U493" s="78"/>
      <c r="V493" s="78"/>
    </row>
    <row r="494" ht="15.75" customHeight="1">
      <c r="P494" s="78"/>
      <c r="Q494" s="78"/>
      <c r="R494" s="78"/>
      <c r="S494" s="78"/>
      <c r="T494" s="78"/>
      <c r="U494" s="78"/>
      <c r="V494" s="78"/>
    </row>
    <row r="495" ht="15.75" customHeight="1">
      <c r="P495" s="78"/>
      <c r="Q495" s="78"/>
      <c r="R495" s="78"/>
      <c r="S495" s="78"/>
      <c r="T495" s="78"/>
      <c r="U495" s="78"/>
      <c r="V495" s="78"/>
    </row>
    <row r="496" ht="15.75" customHeight="1">
      <c r="P496" s="78"/>
      <c r="Q496" s="78"/>
      <c r="R496" s="78"/>
      <c r="S496" s="78"/>
      <c r="T496" s="78"/>
      <c r="U496" s="78"/>
      <c r="V496" s="78"/>
    </row>
    <row r="497" ht="15.75" customHeight="1">
      <c r="P497" s="78"/>
      <c r="Q497" s="78"/>
      <c r="R497" s="78"/>
      <c r="S497" s="78"/>
      <c r="T497" s="78"/>
      <c r="U497" s="78"/>
      <c r="V497" s="78"/>
    </row>
    <row r="498" ht="15.75" customHeight="1">
      <c r="P498" s="78"/>
      <c r="Q498" s="78"/>
      <c r="R498" s="78"/>
      <c r="S498" s="78"/>
      <c r="T498" s="78"/>
      <c r="U498" s="78"/>
      <c r="V498" s="78"/>
    </row>
    <row r="499" ht="15.75" customHeight="1">
      <c r="P499" s="78"/>
      <c r="Q499" s="78"/>
      <c r="R499" s="78"/>
      <c r="S499" s="78"/>
      <c r="T499" s="78"/>
      <c r="U499" s="78"/>
      <c r="V499" s="78"/>
    </row>
    <row r="500" ht="15.75" customHeight="1">
      <c r="P500" s="78"/>
      <c r="Q500" s="78"/>
      <c r="R500" s="78"/>
      <c r="S500" s="78"/>
      <c r="T500" s="78"/>
      <c r="U500" s="78"/>
      <c r="V500" s="78"/>
    </row>
    <row r="501" ht="15.75" customHeight="1">
      <c r="P501" s="78"/>
      <c r="Q501" s="78"/>
      <c r="R501" s="78"/>
      <c r="S501" s="78"/>
      <c r="T501" s="78"/>
      <c r="U501" s="78"/>
      <c r="V501" s="78"/>
    </row>
    <row r="502" ht="15.75" customHeight="1">
      <c r="P502" s="78"/>
      <c r="Q502" s="78"/>
      <c r="R502" s="78"/>
      <c r="S502" s="78"/>
      <c r="T502" s="78"/>
      <c r="U502" s="78"/>
      <c r="V502" s="78"/>
    </row>
    <row r="503" ht="15.75" customHeight="1">
      <c r="P503" s="78"/>
      <c r="Q503" s="78"/>
      <c r="R503" s="78"/>
      <c r="S503" s="78"/>
      <c r="T503" s="78"/>
      <c r="U503" s="78"/>
      <c r="V503" s="78"/>
    </row>
    <row r="504" ht="15.75" customHeight="1">
      <c r="P504" s="78"/>
      <c r="Q504" s="78"/>
      <c r="R504" s="78"/>
      <c r="S504" s="78"/>
      <c r="T504" s="78"/>
      <c r="U504" s="78"/>
      <c r="V504" s="78"/>
    </row>
    <row r="505" ht="15.75" customHeight="1">
      <c r="P505" s="78"/>
      <c r="Q505" s="78"/>
      <c r="R505" s="78"/>
      <c r="S505" s="78"/>
      <c r="T505" s="78"/>
      <c r="U505" s="78"/>
      <c r="V505" s="78"/>
    </row>
    <row r="506" ht="15.75" customHeight="1">
      <c r="P506" s="78"/>
      <c r="Q506" s="78"/>
      <c r="R506" s="78"/>
      <c r="S506" s="78"/>
      <c r="T506" s="78"/>
      <c r="U506" s="78"/>
      <c r="V506" s="78"/>
    </row>
    <row r="507" ht="15.75" customHeight="1">
      <c r="P507" s="78"/>
      <c r="Q507" s="78"/>
      <c r="R507" s="78"/>
      <c r="S507" s="78"/>
      <c r="T507" s="78"/>
      <c r="U507" s="78"/>
      <c r="V507" s="78"/>
    </row>
    <row r="508" ht="15.75" customHeight="1">
      <c r="P508" s="78"/>
      <c r="Q508" s="78"/>
      <c r="R508" s="78"/>
      <c r="S508" s="78"/>
      <c r="T508" s="78"/>
      <c r="U508" s="78"/>
      <c r="V508" s="78"/>
    </row>
    <row r="509" ht="15.75" customHeight="1">
      <c r="P509" s="78"/>
      <c r="Q509" s="78"/>
      <c r="R509" s="78"/>
      <c r="S509" s="78"/>
      <c r="T509" s="78"/>
      <c r="U509" s="78"/>
      <c r="V509" s="78"/>
    </row>
    <row r="510" ht="15.75" customHeight="1">
      <c r="P510" s="78"/>
      <c r="Q510" s="78"/>
      <c r="R510" s="78"/>
      <c r="S510" s="78"/>
      <c r="T510" s="78"/>
      <c r="U510" s="78"/>
      <c r="V510" s="78"/>
    </row>
    <row r="511" ht="15.75" customHeight="1">
      <c r="P511" s="78"/>
      <c r="Q511" s="78"/>
      <c r="R511" s="78"/>
      <c r="S511" s="78"/>
      <c r="T511" s="78"/>
      <c r="U511" s="78"/>
      <c r="V511" s="78"/>
    </row>
    <row r="512" ht="15.75" customHeight="1">
      <c r="P512" s="78"/>
      <c r="Q512" s="78"/>
      <c r="R512" s="78"/>
      <c r="S512" s="78"/>
      <c r="T512" s="78"/>
      <c r="U512" s="78"/>
      <c r="V512" s="78"/>
    </row>
    <row r="513" ht="15.75" customHeight="1">
      <c r="P513" s="78"/>
      <c r="Q513" s="78"/>
      <c r="R513" s="78"/>
      <c r="S513" s="78"/>
      <c r="T513" s="78"/>
      <c r="U513" s="78"/>
      <c r="V513" s="78"/>
    </row>
    <row r="514" ht="15.75" customHeight="1">
      <c r="P514" s="78"/>
      <c r="Q514" s="78"/>
      <c r="R514" s="78"/>
      <c r="S514" s="78"/>
      <c r="T514" s="78"/>
      <c r="U514" s="78"/>
      <c r="V514" s="78"/>
    </row>
    <row r="515" ht="15.75" customHeight="1">
      <c r="P515" s="78"/>
      <c r="Q515" s="78"/>
      <c r="R515" s="78"/>
      <c r="S515" s="78"/>
      <c r="T515" s="78"/>
      <c r="U515" s="78"/>
      <c r="V515" s="78"/>
    </row>
    <row r="516" ht="15.75" customHeight="1">
      <c r="P516" s="78"/>
      <c r="Q516" s="78"/>
      <c r="R516" s="78"/>
      <c r="S516" s="78"/>
      <c r="T516" s="78"/>
      <c r="U516" s="78"/>
      <c r="V516" s="78"/>
    </row>
    <row r="517" ht="15.75" customHeight="1">
      <c r="P517" s="78"/>
      <c r="Q517" s="78"/>
      <c r="R517" s="78"/>
      <c r="S517" s="78"/>
      <c r="T517" s="78"/>
      <c r="U517" s="78"/>
      <c r="V517" s="78"/>
    </row>
    <row r="518" ht="15.75" customHeight="1">
      <c r="P518" s="78"/>
      <c r="Q518" s="78"/>
      <c r="R518" s="78"/>
      <c r="S518" s="78"/>
      <c r="T518" s="78"/>
      <c r="U518" s="78"/>
      <c r="V518" s="78"/>
    </row>
    <row r="519" ht="15.75" customHeight="1">
      <c r="P519" s="78"/>
      <c r="Q519" s="78"/>
      <c r="R519" s="78"/>
      <c r="S519" s="78"/>
      <c r="T519" s="78"/>
      <c r="U519" s="78"/>
      <c r="V519" s="78"/>
    </row>
    <row r="520" ht="15.75" customHeight="1">
      <c r="P520" s="78"/>
      <c r="Q520" s="78"/>
      <c r="R520" s="78"/>
      <c r="S520" s="78"/>
      <c r="T520" s="78"/>
      <c r="U520" s="78"/>
      <c r="V520" s="78"/>
    </row>
    <row r="521" ht="15.75" customHeight="1">
      <c r="P521" s="78"/>
      <c r="Q521" s="78"/>
      <c r="R521" s="78"/>
      <c r="S521" s="78"/>
      <c r="T521" s="78"/>
      <c r="U521" s="78"/>
      <c r="V521" s="78"/>
    </row>
    <row r="522" ht="15.75" customHeight="1">
      <c r="P522" s="78"/>
      <c r="Q522" s="78"/>
      <c r="R522" s="78"/>
      <c r="S522" s="78"/>
      <c r="T522" s="78"/>
      <c r="U522" s="78"/>
      <c r="V522" s="78"/>
    </row>
    <row r="523" ht="15.75" customHeight="1">
      <c r="P523" s="78"/>
      <c r="Q523" s="78"/>
      <c r="R523" s="78"/>
      <c r="S523" s="78"/>
      <c r="T523" s="78"/>
      <c r="U523" s="78"/>
      <c r="V523" s="78"/>
    </row>
    <row r="524" ht="15.75" customHeight="1">
      <c r="P524" s="78"/>
      <c r="Q524" s="78"/>
      <c r="R524" s="78"/>
      <c r="S524" s="78"/>
      <c r="T524" s="78"/>
      <c r="U524" s="78"/>
      <c r="V524" s="78"/>
    </row>
    <row r="525" ht="15.75" customHeight="1">
      <c r="P525" s="78"/>
      <c r="Q525" s="78"/>
      <c r="R525" s="78"/>
      <c r="S525" s="78"/>
      <c r="T525" s="78"/>
      <c r="U525" s="78"/>
      <c r="V525" s="78"/>
    </row>
    <row r="526" ht="15.75" customHeight="1">
      <c r="P526" s="78"/>
      <c r="Q526" s="78"/>
      <c r="R526" s="78"/>
      <c r="S526" s="78"/>
      <c r="T526" s="78"/>
      <c r="U526" s="78"/>
      <c r="V526" s="78"/>
    </row>
    <row r="527" ht="15.75" customHeight="1">
      <c r="P527" s="78"/>
      <c r="Q527" s="78"/>
      <c r="R527" s="78"/>
      <c r="S527" s="78"/>
      <c r="T527" s="78"/>
      <c r="U527" s="78"/>
      <c r="V527" s="78"/>
    </row>
    <row r="528" ht="15.75" customHeight="1">
      <c r="P528" s="78"/>
      <c r="Q528" s="78"/>
      <c r="R528" s="78"/>
      <c r="S528" s="78"/>
      <c r="T528" s="78"/>
      <c r="U528" s="78"/>
      <c r="V528" s="78"/>
    </row>
    <row r="529" ht="15.75" customHeight="1">
      <c r="P529" s="78"/>
      <c r="Q529" s="78"/>
      <c r="R529" s="78"/>
      <c r="S529" s="78"/>
      <c r="T529" s="78"/>
      <c r="U529" s="78"/>
      <c r="V529" s="78"/>
    </row>
    <row r="530" ht="15.75" customHeight="1">
      <c r="P530" s="78"/>
      <c r="Q530" s="78"/>
      <c r="R530" s="78"/>
      <c r="S530" s="78"/>
      <c r="T530" s="78"/>
      <c r="U530" s="78"/>
      <c r="V530" s="78"/>
    </row>
    <row r="531" ht="15.75" customHeight="1">
      <c r="P531" s="78"/>
      <c r="Q531" s="78"/>
      <c r="R531" s="78"/>
      <c r="S531" s="78"/>
      <c r="T531" s="78"/>
      <c r="U531" s="78"/>
      <c r="V531" s="78"/>
    </row>
    <row r="532" ht="15.75" customHeight="1">
      <c r="P532" s="78"/>
      <c r="Q532" s="78"/>
      <c r="R532" s="78"/>
      <c r="S532" s="78"/>
      <c r="T532" s="78"/>
      <c r="U532" s="78"/>
      <c r="V532" s="78"/>
    </row>
    <row r="533" ht="15.75" customHeight="1">
      <c r="P533" s="78"/>
      <c r="Q533" s="78"/>
      <c r="R533" s="78"/>
      <c r="S533" s="78"/>
      <c r="T533" s="78"/>
      <c r="U533" s="78"/>
      <c r="V533" s="78"/>
    </row>
    <row r="534" ht="15.75" customHeight="1">
      <c r="P534" s="78"/>
      <c r="Q534" s="78"/>
      <c r="R534" s="78"/>
      <c r="S534" s="78"/>
      <c r="T534" s="78"/>
      <c r="U534" s="78"/>
      <c r="V534" s="78"/>
    </row>
    <row r="535" ht="15.75" customHeight="1">
      <c r="P535" s="78"/>
      <c r="Q535" s="78"/>
      <c r="R535" s="78"/>
      <c r="S535" s="78"/>
      <c r="T535" s="78"/>
      <c r="U535" s="78"/>
      <c r="V535" s="78"/>
    </row>
    <row r="536" ht="15.75" customHeight="1">
      <c r="P536" s="78"/>
      <c r="Q536" s="78"/>
      <c r="R536" s="78"/>
      <c r="S536" s="78"/>
      <c r="T536" s="78"/>
      <c r="U536" s="78"/>
      <c r="V536" s="78"/>
    </row>
    <row r="537" ht="15.75" customHeight="1">
      <c r="P537" s="78"/>
      <c r="Q537" s="78"/>
      <c r="R537" s="78"/>
      <c r="S537" s="78"/>
      <c r="T537" s="78"/>
      <c r="U537" s="78"/>
      <c r="V537" s="78"/>
    </row>
    <row r="538" ht="15.75" customHeight="1">
      <c r="P538" s="78"/>
      <c r="Q538" s="78"/>
      <c r="R538" s="78"/>
      <c r="S538" s="78"/>
      <c r="T538" s="78"/>
      <c r="U538" s="78"/>
      <c r="V538" s="78"/>
    </row>
    <row r="539" ht="15.75" customHeight="1">
      <c r="P539" s="78"/>
      <c r="Q539" s="78"/>
      <c r="R539" s="78"/>
      <c r="S539" s="78"/>
      <c r="T539" s="78"/>
      <c r="U539" s="78"/>
      <c r="V539" s="78"/>
    </row>
    <row r="540" ht="15.75" customHeight="1">
      <c r="P540" s="78"/>
      <c r="Q540" s="78"/>
      <c r="R540" s="78"/>
      <c r="S540" s="78"/>
      <c r="T540" s="78"/>
      <c r="U540" s="78"/>
      <c r="V540" s="78"/>
    </row>
    <row r="541" ht="15.75" customHeight="1">
      <c r="P541" s="78"/>
      <c r="Q541" s="78"/>
      <c r="R541" s="78"/>
      <c r="S541" s="78"/>
      <c r="T541" s="78"/>
      <c r="U541" s="78"/>
      <c r="V541" s="78"/>
    </row>
    <row r="542" ht="15.75" customHeight="1">
      <c r="P542" s="78"/>
      <c r="Q542" s="78"/>
      <c r="R542" s="78"/>
      <c r="S542" s="78"/>
      <c r="T542" s="78"/>
      <c r="U542" s="78"/>
      <c r="V542" s="78"/>
    </row>
    <row r="543" ht="15.75" customHeight="1">
      <c r="P543" s="78"/>
      <c r="Q543" s="78"/>
      <c r="R543" s="78"/>
      <c r="S543" s="78"/>
      <c r="T543" s="78"/>
      <c r="U543" s="78"/>
      <c r="V543" s="78"/>
    </row>
    <row r="544" ht="15.75" customHeight="1">
      <c r="P544" s="78"/>
      <c r="Q544" s="78"/>
      <c r="R544" s="78"/>
      <c r="S544" s="78"/>
      <c r="T544" s="78"/>
      <c r="U544" s="78"/>
      <c r="V544" s="78"/>
    </row>
    <row r="545" ht="15.75" customHeight="1">
      <c r="P545" s="78"/>
      <c r="Q545" s="78"/>
      <c r="R545" s="78"/>
      <c r="S545" s="78"/>
      <c r="T545" s="78"/>
      <c r="U545" s="78"/>
      <c r="V545" s="78"/>
    </row>
    <row r="546" ht="15.75" customHeight="1">
      <c r="P546" s="78"/>
      <c r="Q546" s="78"/>
      <c r="R546" s="78"/>
      <c r="S546" s="78"/>
      <c r="T546" s="78"/>
      <c r="U546" s="78"/>
      <c r="V546" s="78"/>
    </row>
    <row r="547" ht="15.75" customHeight="1">
      <c r="P547" s="78"/>
      <c r="Q547" s="78"/>
      <c r="R547" s="78"/>
      <c r="S547" s="78"/>
      <c r="T547" s="78"/>
      <c r="U547" s="78"/>
      <c r="V547" s="78"/>
    </row>
    <row r="548" ht="15.75" customHeight="1">
      <c r="P548" s="78"/>
      <c r="Q548" s="78"/>
      <c r="R548" s="78"/>
      <c r="S548" s="78"/>
      <c r="T548" s="78"/>
      <c r="U548" s="78"/>
      <c r="V548" s="78"/>
    </row>
    <row r="549" ht="15.75" customHeight="1">
      <c r="P549" s="78"/>
      <c r="Q549" s="78"/>
      <c r="R549" s="78"/>
      <c r="S549" s="78"/>
      <c r="T549" s="78"/>
      <c r="U549" s="78"/>
      <c r="V549" s="78"/>
    </row>
    <row r="550" ht="15.75" customHeight="1">
      <c r="P550" s="78"/>
      <c r="Q550" s="78"/>
      <c r="R550" s="78"/>
      <c r="S550" s="78"/>
      <c r="T550" s="78"/>
      <c r="U550" s="78"/>
      <c r="V550" s="78"/>
    </row>
    <row r="551" ht="15.75" customHeight="1">
      <c r="P551" s="78"/>
      <c r="Q551" s="78"/>
      <c r="R551" s="78"/>
      <c r="S551" s="78"/>
      <c r="T551" s="78"/>
      <c r="U551" s="78"/>
      <c r="V551" s="78"/>
    </row>
    <row r="552" ht="15.75" customHeight="1">
      <c r="P552" s="78"/>
      <c r="Q552" s="78"/>
      <c r="R552" s="78"/>
      <c r="S552" s="78"/>
      <c r="T552" s="78"/>
      <c r="U552" s="78"/>
      <c r="V552" s="78"/>
    </row>
    <row r="553" ht="15.75" customHeight="1">
      <c r="P553" s="78"/>
      <c r="Q553" s="78"/>
      <c r="R553" s="78"/>
      <c r="S553" s="78"/>
      <c r="T553" s="78"/>
      <c r="U553" s="78"/>
      <c r="V553" s="78"/>
    </row>
    <row r="554" ht="15.75" customHeight="1">
      <c r="P554" s="78"/>
      <c r="Q554" s="78"/>
      <c r="R554" s="78"/>
      <c r="S554" s="78"/>
      <c r="T554" s="78"/>
      <c r="U554" s="78"/>
      <c r="V554" s="78"/>
    </row>
    <row r="555" ht="15.75" customHeight="1">
      <c r="P555" s="78"/>
      <c r="Q555" s="78"/>
      <c r="R555" s="78"/>
      <c r="S555" s="78"/>
      <c r="T555" s="78"/>
      <c r="U555" s="78"/>
      <c r="V555" s="78"/>
    </row>
    <row r="556" ht="15.75" customHeight="1">
      <c r="P556" s="78"/>
      <c r="Q556" s="78"/>
      <c r="R556" s="78"/>
      <c r="S556" s="78"/>
      <c r="T556" s="78"/>
      <c r="U556" s="78"/>
      <c r="V556" s="78"/>
    </row>
    <row r="557" ht="15.75" customHeight="1">
      <c r="P557" s="78"/>
      <c r="Q557" s="78"/>
      <c r="R557" s="78"/>
      <c r="S557" s="78"/>
      <c r="T557" s="78"/>
      <c r="U557" s="78"/>
      <c r="V557" s="78"/>
    </row>
    <row r="558" ht="15.75" customHeight="1">
      <c r="P558" s="78"/>
      <c r="Q558" s="78"/>
      <c r="R558" s="78"/>
      <c r="S558" s="78"/>
      <c r="T558" s="78"/>
      <c r="U558" s="78"/>
      <c r="V558" s="78"/>
    </row>
    <row r="559" ht="15.75" customHeight="1">
      <c r="P559" s="78"/>
      <c r="Q559" s="78"/>
      <c r="R559" s="78"/>
      <c r="S559" s="78"/>
      <c r="T559" s="78"/>
      <c r="U559" s="78"/>
      <c r="V559" s="78"/>
    </row>
    <row r="560" ht="15.75" customHeight="1">
      <c r="P560" s="78"/>
      <c r="Q560" s="78"/>
      <c r="R560" s="78"/>
      <c r="S560" s="78"/>
      <c r="T560" s="78"/>
      <c r="U560" s="78"/>
      <c r="V560" s="78"/>
    </row>
    <row r="561" ht="15.75" customHeight="1">
      <c r="P561" s="78"/>
      <c r="Q561" s="78"/>
      <c r="R561" s="78"/>
      <c r="S561" s="78"/>
      <c r="T561" s="78"/>
      <c r="U561" s="78"/>
      <c r="V561" s="78"/>
    </row>
    <row r="562" ht="15.75" customHeight="1">
      <c r="P562" s="78"/>
      <c r="Q562" s="78"/>
      <c r="R562" s="78"/>
      <c r="S562" s="78"/>
      <c r="T562" s="78"/>
      <c r="U562" s="78"/>
      <c r="V562" s="78"/>
    </row>
    <row r="563" ht="15.75" customHeight="1">
      <c r="P563" s="78"/>
      <c r="Q563" s="78"/>
      <c r="R563" s="78"/>
      <c r="S563" s="78"/>
      <c r="T563" s="78"/>
      <c r="U563" s="78"/>
      <c r="V563" s="78"/>
    </row>
    <row r="564" ht="15.75" customHeight="1">
      <c r="P564" s="78"/>
      <c r="Q564" s="78"/>
      <c r="R564" s="78"/>
      <c r="S564" s="78"/>
      <c r="T564" s="78"/>
      <c r="U564" s="78"/>
      <c r="V564" s="78"/>
    </row>
    <row r="565" ht="15.75" customHeight="1">
      <c r="P565" s="78"/>
      <c r="Q565" s="78"/>
      <c r="R565" s="78"/>
      <c r="S565" s="78"/>
      <c r="T565" s="78"/>
      <c r="U565" s="78"/>
      <c r="V565" s="78"/>
    </row>
    <row r="566" ht="15.75" customHeight="1">
      <c r="P566" s="78"/>
      <c r="Q566" s="78"/>
      <c r="R566" s="78"/>
      <c r="S566" s="78"/>
      <c r="T566" s="78"/>
      <c r="U566" s="78"/>
      <c r="V566" s="78"/>
    </row>
    <row r="567" ht="15.75" customHeight="1">
      <c r="P567" s="78"/>
      <c r="Q567" s="78"/>
      <c r="R567" s="78"/>
      <c r="S567" s="78"/>
      <c r="T567" s="78"/>
      <c r="U567" s="78"/>
      <c r="V567" s="78"/>
    </row>
    <row r="568" ht="15.75" customHeight="1">
      <c r="P568" s="78"/>
      <c r="Q568" s="78"/>
      <c r="R568" s="78"/>
      <c r="S568" s="78"/>
      <c r="T568" s="78"/>
      <c r="U568" s="78"/>
      <c r="V568" s="78"/>
    </row>
    <row r="569" ht="15.75" customHeight="1">
      <c r="P569" s="78"/>
      <c r="Q569" s="78"/>
      <c r="R569" s="78"/>
      <c r="S569" s="78"/>
      <c r="T569" s="78"/>
      <c r="U569" s="78"/>
      <c r="V569" s="78"/>
    </row>
    <row r="570" ht="15.75" customHeight="1">
      <c r="P570" s="78"/>
      <c r="Q570" s="78"/>
      <c r="R570" s="78"/>
      <c r="S570" s="78"/>
      <c r="T570" s="78"/>
      <c r="U570" s="78"/>
      <c r="V570" s="78"/>
    </row>
    <row r="571" ht="15.75" customHeight="1">
      <c r="P571" s="78"/>
      <c r="Q571" s="78"/>
      <c r="R571" s="78"/>
      <c r="S571" s="78"/>
      <c r="T571" s="78"/>
      <c r="U571" s="78"/>
      <c r="V571" s="78"/>
    </row>
    <row r="572" ht="15.75" customHeight="1">
      <c r="P572" s="78"/>
      <c r="Q572" s="78"/>
      <c r="R572" s="78"/>
      <c r="S572" s="78"/>
      <c r="T572" s="78"/>
      <c r="U572" s="78"/>
      <c r="V572" s="78"/>
    </row>
    <row r="573" ht="15.75" customHeight="1">
      <c r="P573" s="78"/>
      <c r="Q573" s="78"/>
      <c r="R573" s="78"/>
      <c r="S573" s="78"/>
      <c r="T573" s="78"/>
      <c r="U573" s="78"/>
      <c r="V573" s="78"/>
    </row>
    <row r="574" ht="15.75" customHeight="1">
      <c r="P574" s="78"/>
      <c r="Q574" s="78"/>
      <c r="R574" s="78"/>
      <c r="S574" s="78"/>
      <c r="T574" s="78"/>
      <c r="U574" s="78"/>
      <c r="V574" s="78"/>
    </row>
    <row r="575" ht="15.75" customHeight="1">
      <c r="P575" s="78"/>
      <c r="Q575" s="78"/>
      <c r="R575" s="78"/>
      <c r="S575" s="78"/>
      <c r="T575" s="78"/>
      <c r="U575" s="78"/>
      <c r="V575" s="78"/>
    </row>
    <row r="576" ht="15.75" customHeight="1">
      <c r="P576" s="78"/>
      <c r="Q576" s="78"/>
      <c r="R576" s="78"/>
      <c r="S576" s="78"/>
      <c r="T576" s="78"/>
      <c r="U576" s="78"/>
      <c r="V576" s="78"/>
    </row>
    <row r="577" ht="15.75" customHeight="1">
      <c r="P577" s="78"/>
      <c r="Q577" s="78"/>
      <c r="R577" s="78"/>
      <c r="S577" s="78"/>
      <c r="T577" s="78"/>
      <c r="U577" s="78"/>
      <c r="V577" s="78"/>
    </row>
    <row r="578" ht="15.75" customHeight="1">
      <c r="P578" s="78"/>
      <c r="Q578" s="78"/>
      <c r="R578" s="78"/>
      <c r="S578" s="78"/>
      <c r="T578" s="78"/>
      <c r="U578" s="78"/>
      <c r="V578" s="78"/>
    </row>
    <row r="579" ht="15.75" customHeight="1">
      <c r="P579" s="78"/>
      <c r="Q579" s="78"/>
      <c r="R579" s="78"/>
      <c r="S579" s="78"/>
      <c r="T579" s="78"/>
      <c r="U579" s="78"/>
      <c r="V579" s="78"/>
    </row>
    <row r="580" ht="15.75" customHeight="1">
      <c r="P580" s="78"/>
      <c r="Q580" s="78"/>
      <c r="R580" s="78"/>
      <c r="S580" s="78"/>
      <c r="T580" s="78"/>
      <c r="U580" s="78"/>
      <c r="V580" s="78"/>
    </row>
    <row r="581" ht="15.75" customHeight="1">
      <c r="P581" s="78"/>
      <c r="Q581" s="78"/>
      <c r="R581" s="78"/>
      <c r="S581" s="78"/>
      <c r="T581" s="78"/>
      <c r="U581" s="78"/>
      <c r="V581" s="78"/>
    </row>
    <row r="582" ht="15.75" customHeight="1">
      <c r="P582" s="78"/>
      <c r="Q582" s="78"/>
      <c r="R582" s="78"/>
      <c r="S582" s="78"/>
      <c r="T582" s="78"/>
      <c r="U582" s="78"/>
      <c r="V582" s="78"/>
    </row>
    <row r="583" ht="15.75" customHeight="1">
      <c r="P583" s="78"/>
      <c r="Q583" s="78"/>
      <c r="R583" s="78"/>
      <c r="S583" s="78"/>
      <c r="T583" s="78"/>
      <c r="U583" s="78"/>
      <c r="V583" s="78"/>
    </row>
    <row r="584" ht="15.75" customHeight="1">
      <c r="P584" s="78"/>
      <c r="Q584" s="78"/>
      <c r="R584" s="78"/>
      <c r="S584" s="78"/>
      <c r="T584" s="78"/>
      <c r="U584" s="78"/>
      <c r="V584" s="78"/>
    </row>
    <row r="585" ht="15.75" customHeight="1">
      <c r="P585" s="78"/>
      <c r="Q585" s="78"/>
      <c r="R585" s="78"/>
      <c r="S585" s="78"/>
      <c r="T585" s="78"/>
      <c r="U585" s="78"/>
      <c r="V585" s="78"/>
    </row>
    <row r="586" ht="15.75" customHeight="1">
      <c r="P586" s="78"/>
      <c r="Q586" s="78"/>
      <c r="R586" s="78"/>
      <c r="S586" s="78"/>
      <c r="T586" s="78"/>
      <c r="U586" s="78"/>
      <c r="V586" s="78"/>
    </row>
    <row r="587" ht="15.75" customHeight="1">
      <c r="P587" s="78"/>
      <c r="Q587" s="78"/>
      <c r="R587" s="78"/>
      <c r="S587" s="78"/>
      <c r="T587" s="78"/>
      <c r="U587" s="78"/>
      <c r="V587" s="78"/>
    </row>
    <row r="588" ht="15.75" customHeight="1">
      <c r="P588" s="78"/>
      <c r="Q588" s="78"/>
      <c r="R588" s="78"/>
      <c r="S588" s="78"/>
      <c r="T588" s="78"/>
      <c r="U588" s="78"/>
      <c r="V588" s="78"/>
    </row>
    <row r="589" ht="15.75" customHeight="1">
      <c r="P589" s="78"/>
      <c r="Q589" s="78"/>
      <c r="R589" s="78"/>
      <c r="S589" s="78"/>
      <c r="T589" s="78"/>
      <c r="U589" s="78"/>
      <c r="V589" s="78"/>
    </row>
    <row r="590" ht="15.75" customHeight="1">
      <c r="P590" s="78"/>
      <c r="Q590" s="78"/>
      <c r="R590" s="78"/>
      <c r="S590" s="78"/>
      <c r="T590" s="78"/>
      <c r="U590" s="78"/>
      <c r="V590" s="78"/>
    </row>
    <row r="591" ht="15.75" customHeight="1">
      <c r="P591" s="78"/>
      <c r="Q591" s="78"/>
      <c r="R591" s="78"/>
      <c r="S591" s="78"/>
      <c r="T591" s="78"/>
      <c r="U591" s="78"/>
      <c r="V591" s="78"/>
    </row>
    <row r="592" ht="15.75" customHeight="1">
      <c r="P592" s="78"/>
      <c r="Q592" s="78"/>
      <c r="R592" s="78"/>
      <c r="S592" s="78"/>
      <c r="T592" s="78"/>
      <c r="U592" s="78"/>
      <c r="V592" s="78"/>
    </row>
    <row r="593" ht="15.75" customHeight="1">
      <c r="P593" s="78"/>
      <c r="Q593" s="78"/>
      <c r="R593" s="78"/>
      <c r="S593" s="78"/>
      <c r="T593" s="78"/>
      <c r="U593" s="78"/>
      <c r="V593" s="78"/>
    </row>
    <row r="594" ht="15.75" customHeight="1">
      <c r="P594" s="78"/>
      <c r="Q594" s="78"/>
      <c r="R594" s="78"/>
      <c r="S594" s="78"/>
      <c r="T594" s="78"/>
      <c r="U594" s="78"/>
      <c r="V594" s="78"/>
    </row>
    <row r="595" ht="15.75" customHeight="1">
      <c r="P595" s="78"/>
      <c r="Q595" s="78"/>
      <c r="R595" s="78"/>
      <c r="S595" s="78"/>
      <c r="T595" s="78"/>
      <c r="U595" s="78"/>
      <c r="V595" s="78"/>
    </row>
    <row r="596" ht="15.75" customHeight="1">
      <c r="P596" s="78"/>
      <c r="Q596" s="78"/>
      <c r="R596" s="78"/>
      <c r="S596" s="78"/>
      <c r="T596" s="78"/>
      <c r="U596" s="78"/>
      <c r="V596" s="78"/>
    </row>
    <row r="597" ht="15.75" customHeight="1">
      <c r="P597" s="78"/>
      <c r="Q597" s="78"/>
      <c r="R597" s="78"/>
      <c r="S597" s="78"/>
      <c r="T597" s="78"/>
      <c r="U597" s="78"/>
      <c r="V597" s="78"/>
    </row>
    <row r="598" ht="15.75" customHeight="1">
      <c r="P598" s="78"/>
      <c r="Q598" s="78"/>
      <c r="R598" s="78"/>
      <c r="S598" s="78"/>
      <c r="T598" s="78"/>
      <c r="U598" s="78"/>
      <c r="V598" s="78"/>
    </row>
    <row r="599" ht="15.75" customHeight="1">
      <c r="P599" s="78"/>
      <c r="Q599" s="78"/>
      <c r="R599" s="78"/>
      <c r="S599" s="78"/>
      <c r="T599" s="78"/>
      <c r="U599" s="78"/>
      <c r="V599" s="78"/>
    </row>
    <row r="600" ht="15.75" customHeight="1">
      <c r="P600" s="78"/>
      <c r="Q600" s="78"/>
      <c r="R600" s="78"/>
      <c r="S600" s="78"/>
      <c r="T600" s="78"/>
      <c r="U600" s="78"/>
      <c r="V600" s="78"/>
    </row>
    <row r="601" ht="15.75" customHeight="1">
      <c r="P601" s="78"/>
      <c r="Q601" s="78"/>
      <c r="R601" s="78"/>
      <c r="S601" s="78"/>
      <c r="T601" s="78"/>
      <c r="U601" s="78"/>
      <c r="V601" s="78"/>
    </row>
    <row r="602" ht="15.75" customHeight="1">
      <c r="P602" s="78"/>
      <c r="Q602" s="78"/>
      <c r="R602" s="78"/>
      <c r="S602" s="78"/>
      <c r="T602" s="78"/>
      <c r="U602" s="78"/>
      <c r="V602" s="78"/>
    </row>
    <row r="603" ht="15.75" customHeight="1">
      <c r="P603" s="78"/>
      <c r="Q603" s="78"/>
      <c r="R603" s="78"/>
      <c r="S603" s="78"/>
      <c r="T603" s="78"/>
      <c r="U603" s="78"/>
      <c r="V603" s="78"/>
    </row>
    <row r="604" ht="15.75" customHeight="1">
      <c r="P604" s="78"/>
      <c r="Q604" s="78"/>
      <c r="R604" s="78"/>
      <c r="S604" s="78"/>
      <c r="T604" s="78"/>
      <c r="U604" s="78"/>
      <c r="V604" s="78"/>
    </row>
    <row r="605" ht="15.75" customHeight="1">
      <c r="P605" s="78"/>
      <c r="Q605" s="78"/>
      <c r="R605" s="78"/>
      <c r="S605" s="78"/>
      <c r="T605" s="78"/>
      <c r="U605" s="78"/>
      <c r="V605" s="78"/>
    </row>
    <row r="606" ht="15.75" customHeight="1">
      <c r="P606" s="78"/>
      <c r="Q606" s="78"/>
      <c r="R606" s="78"/>
      <c r="S606" s="78"/>
      <c r="T606" s="78"/>
      <c r="U606" s="78"/>
      <c r="V606" s="78"/>
    </row>
    <row r="607" ht="15.75" customHeight="1">
      <c r="P607" s="78"/>
      <c r="Q607" s="78"/>
      <c r="R607" s="78"/>
      <c r="S607" s="78"/>
      <c r="T607" s="78"/>
      <c r="U607" s="78"/>
      <c r="V607" s="78"/>
    </row>
    <row r="608" ht="15.75" customHeight="1">
      <c r="P608" s="78"/>
      <c r="Q608" s="78"/>
      <c r="R608" s="78"/>
      <c r="S608" s="78"/>
      <c r="T608" s="78"/>
      <c r="U608" s="78"/>
      <c r="V608" s="78"/>
    </row>
    <row r="609" ht="15.75" customHeight="1">
      <c r="P609" s="78"/>
      <c r="Q609" s="78"/>
      <c r="R609" s="78"/>
      <c r="S609" s="78"/>
      <c r="T609" s="78"/>
      <c r="U609" s="78"/>
      <c r="V609" s="78"/>
    </row>
    <row r="610" ht="15.75" customHeight="1">
      <c r="P610" s="78"/>
      <c r="Q610" s="78"/>
      <c r="R610" s="78"/>
      <c r="S610" s="78"/>
      <c r="T610" s="78"/>
      <c r="U610" s="78"/>
      <c r="V610" s="78"/>
    </row>
    <row r="611" ht="15.75" customHeight="1">
      <c r="P611" s="78"/>
      <c r="Q611" s="78"/>
      <c r="R611" s="78"/>
      <c r="S611" s="78"/>
      <c r="T611" s="78"/>
      <c r="U611" s="78"/>
      <c r="V611" s="78"/>
    </row>
    <row r="612" ht="15.75" customHeight="1">
      <c r="P612" s="78"/>
      <c r="Q612" s="78"/>
      <c r="R612" s="78"/>
      <c r="S612" s="78"/>
      <c r="T612" s="78"/>
      <c r="U612" s="78"/>
      <c r="V612" s="78"/>
    </row>
    <row r="613" ht="15.75" customHeight="1">
      <c r="P613" s="78"/>
      <c r="Q613" s="78"/>
      <c r="R613" s="78"/>
      <c r="S613" s="78"/>
      <c r="T613" s="78"/>
      <c r="U613" s="78"/>
      <c r="V613" s="78"/>
    </row>
    <row r="614" ht="15.75" customHeight="1">
      <c r="P614" s="78"/>
      <c r="Q614" s="78"/>
      <c r="R614" s="78"/>
      <c r="S614" s="78"/>
      <c r="T614" s="78"/>
      <c r="U614" s="78"/>
      <c r="V614" s="78"/>
    </row>
    <row r="615" ht="15.75" customHeight="1">
      <c r="P615" s="78"/>
      <c r="Q615" s="78"/>
      <c r="R615" s="78"/>
      <c r="S615" s="78"/>
      <c r="T615" s="78"/>
      <c r="U615" s="78"/>
      <c r="V615" s="78"/>
    </row>
    <row r="616" ht="15.75" customHeight="1">
      <c r="P616" s="78"/>
      <c r="Q616" s="78"/>
      <c r="R616" s="78"/>
      <c r="S616" s="78"/>
      <c r="T616" s="78"/>
      <c r="U616" s="78"/>
      <c r="V616" s="78"/>
    </row>
    <row r="617" ht="15.75" customHeight="1">
      <c r="P617" s="78"/>
      <c r="Q617" s="78"/>
      <c r="R617" s="78"/>
      <c r="S617" s="78"/>
      <c r="T617" s="78"/>
      <c r="U617" s="78"/>
      <c r="V617" s="78"/>
    </row>
    <row r="618" ht="15.75" customHeight="1">
      <c r="P618" s="78"/>
      <c r="Q618" s="78"/>
      <c r="R618" s="78"/>
      <c r="S618" s="78"/>
      <c r="T618" s="78"/>
      <c r="U618" s="78"/>
      <c r="V618" s="78"/>
    </row>
    <row r="619" ht="15.75" customHeight="1">
      <c r="P619" s="78"/>
      <c r="Q619" s="78"/>
      <c r="R619" s="78"/>
      <c r="S619" s="78"/>
      <c r="T619" s="78"/>
      <c r="U619" s="78"/>
      <c r="V619" s="78"/>
    </row>
    <row r="620" ht="15.75" customHeight="1">
      <c r="P620" s="78"/>
      <c r="Q620" s="78"/>
      <c r="R620" s="78"/>
      <c r="S620" s="78"/>
      <c r="T620" s="78"/>
      <c r="U620" s="78"/>
      <c r="V620" s="78"/>
    </row>
    <row r="621" ht="15.75" customHeight="1">
      <c r="P621" s="78"/>
      <c r="Q621" s="78"/>
      <c r="R621" s="78"/>
      <c r="S621" s="78"/>
      <c r="T621" s="78"/>
      <c r="U621" s="78"/>
      <c r="V621" s="78"/>
    </row>
    <row r="622" ht="15.75" customHeight="1">
      <c r="P622" s="78"/>
      <c r="Q622" s="78"/>
      <c r="R622" s="78"/>
      <c r="S622" s="78"/>
      <c r="T622" s="78"/>
      <c r="U622" s="78"/>
      <c r="V622" s="78"/>
    </row>
    <row r="623" ht="15.75" customHeight="1">
      <c r="P623" s="78"/>
      <c r="Q623" s="78"/>
      <c r="R623" s="78"/>
      <c r="S623" s="78"/>
      <c r="T623" s="78"/>
      <c r="U623" s="78"/>
      <c r="V623" s="78"/>
    </row>
    <row r="624" ht="15.75" customHeight="1">
      <c r="P624" s="78"/>
      <c r="Q624" s="78"/>
      <c r="R624" s="78"/>
      <c r="S624" s="78"/>
      <c r="T624" s="78"/>
      <c r="U624" s="78"/>
      <c r="V624" s="78"/>
    </row>
    <row r="625" ht="15.75" customHeight="1">
      <c r="P625" s="78"/>
      <c r="Q625" s="78"/>
      <c r="R625" s="78"/>
      <c r="S625" s="78"/>
      <c r="T625" s="78"/>
      <c r="U625" s="78"/>
      <c r="V625" s="78"/>
    </row>
    <row r="626" ht="15.75" customHeight="1">
      <c r="P626" s="78"/>
      <c r="Q626" s="78"/>
      <c r="R626" s="78"/>
      <c r="S626" s="78"/>
      <c r="T626" s="78"/>
      <c r="U626" s="78"/>
      <c r="V626" s="78"/>
    </row>
    <row r="627" ht="15.75" customHeight="1">
      <c r="P627" s="78"/>
      <c r="Q627" s="78"/>
      <c r="R627" s="78"/>
      <c r="S627" s="78"/>
      <c r="T627" s="78"/>
      <c r="U627" s="78"/>
      <c r="V627" s="78"/>
    </row>
    <row r="628" ht="15.75" customHeight="1">
      <c r="P628" s="78"/>
      <c r="Q628" s="78"/>
      <c r="R628" s="78"/>
      <c r="S628" s="78"/>
      <c r="T628" s="78"/>
      <c r="U628" s="78"/>
      <c r="V628" s="78"/>
    </row>
    <row r="629" ht="15.75" customHeight="1">
      <c r="P629" s="78"/>
      <c r="Q629" s="78"/>
      <c r="R629" s="78"/>
      <c r="S629" s="78"/>
      <c r="T629" s="78"/>
      <c r="U629" s="78"/>
      <c r="V629" s="78"/>
    </row>
    <row r="630" ht="15.75" customHeight="1">
      <c r="P630" s="78"/>
      <c r="Q630" s="78"/>
      <c r="R630" s="78"/>
      <c r="S630" s="78"/>
      <c r="T630" s="78"/>
      <c r="U630" s="78"/>
      <c r="V630" s="78"/>
    </row>
    <row r="631" ht="15.75" customHeight="1">
      <c r="P631" s="78"/>
      <c r="Q631" s="78"/>
      <c r="R631" s="78"/>
      <c r="S631" s="78"/>
      <c r="T631" s="78"/>
      <c r="U631" s="78"/>
      <c r="V631" s="78"/>
    </row>
    <row r="632" ht="15.75" customHeight="1">
      <c r="P632" s="78"/>
      <c r="Q632" s="78"/>
      <c r="R632" s="78"/>
      <c r="S632" s="78"/>
      <c r="T632" s="78"/>
      <c r="U632" s="78"/>
      <c r="V632" s="78"/>
    </row>
    <row r="633" ht="15.75" customHeight="1">
      <c r="P633" s="78"/>
      <c r="Q633" s="78"/>
      <c r="R633" s="78"/>
      <c r="S633" s="78"/>
      <c r="T633" s="78"/>
      <c r="U633" s="78"/>
      <c r="V633" s="78"/>
    </row>
    <row r="634" ht="15.75" customHeight="1">
      <c r="P634" s="78"/>
      <c r="Q634" s="78"/>
      <c r="R634" s="78"/>
      <c r="S634" s="78"/>
      <c r="T634" s="78"/>
      <c r="U634" s="78"/>
      <c r="V634" s="78"/>
    </row>
    <row r="635" ht="15.75" customHeight="1">
      <c r="P635" s="78"/>
      <c r="Q635" s="78"/>
      <c r="R635" s="78"/>
      <c r="S635" s="78"/>
      <c r="T635" s="78"/>
      <c r="U635" s="78"/>
      <c r="V635" s="78"/>
    </row>
    <row r="636" ht="15.75" customHeight="1">
      <c r="P636" s="78"/>
      <c r="Q636" s="78"/>
      <c r="R636" s="78"/>
      <c r="S636" s="78"/>
      <c r="T636" s="78"/>
      <c r="U636" s="78"/>
      <c r="V636" s="78"/>
    </row>
    <row r="637" ht="15.75" customHeight="1">
      <c r="P637" s="78"/>
      <c r="Q637" s="78"/>
      <c r="R637" s="78"/>
      <c r="S637" s="78"/>
      <c r="T637" s="78"/>
      <c r="U637" s="78"/>
      <c r="V637" s="78"/>
    </row>
    <row r="638" ht="15.75" customHeight="1">
      <c r="P638" s="78"/>
      <c r="Q638" s="78"/>
      <c r="R638" s="78"/>
      <c r="S638" s="78"/>
      <c r="T638" s="78"/>
      <c r="U638" s="78"/>
      <c r="V638" s="78"/>
    </row>
    <row r="639" ht="15.75" customHeight="1">
      <c r="P639" s="78"/>
      <c r="Q639" s="78"/>
      <c r="R639" s="78"/>
      <c r="S639" s="78"/>
      <c r="T639" s="78"/>
      <c r="U639" s="78"/>
      <c r="V639" s="78"/>
    </row>
    <row r="640" ht="15.75" customHeight="1">
      <c r="P640" s="78"/>
      <c r="Q640" s="78"/>
      <c r="R640" s="78"/>
      <c r="S640" s="78"/>
      <c r="T640" s="78"/>
      <c r="U640" s="78"/>
      <c r="V640" s="78"/>
    </row>
    <row r="641" ht="15.75" customHeight="1">
      <c r="P641" s="78"/>
      <c r="Q641" s="78"/>
      <c r="R641" s="78"/>
      <c r="S641" s="78"/>
      <c r="T641" s="78"/>
      <c r="U641" s="78"/>
      <c r="V641" s="78"/>
    </row>
    <row r="642" ht="15.75" customHeight="1">
      <c r="P642" s="78"/>
      <c r="Q642" s="78"/>
      <c r="R642" s="78"/>
      <c r="S642" s="78"/>
      <c r="T642" s="78"/>
      <c r="U642" s="78"/>
      <c r="V642" s="78"/>
    </row>
    <row r="643" ht="15.75" customHeight="1">
      <c r="P643" s="78"/>
      <c r="Q643" s="78"/>
      <c r="R643" s="78"/>
      <c r="S643" s="78"/>
      <c r="T643" s="78"/>
      <c r="U643" s="78"/>
      <c r="V643" s="78"/>
    </row>
    <row r="644" ht="15.75" customHeight="1">
      <c r="P644" s="78"/>
      <c r="Q644" s="78"/>
      <c r="R644" s="78"/>
      <c r="S644" s="78"/>
      <c r="T644" s="78"/>
      <c r="U644" s="78"/>
      <c r="V644" s="78"/>
    </row>
    <row r="645" ht="15.75" customHeight="1">
      <c r="P645" s="78"/>
      <c r="Q645" s="78"/>
      <c r="R645" s="78"/>
      <c r="S645" s="78"/>
      <c r="T645" s="78"/>
      <c r="U645" s="78"/>
      <c r="V645" s="78"/>
    </row>
    <row r="646" ht="15.75" customHeight="1">
      <c r="P646" s="78"/>
      <c r="Q646" s="78"/>
      <c r="R646" s="78"/>
      <c r="S646" s="78"/>
      <c r="T646" s="78"/>
      <c r="U646" s="78"/>
      <c r="V646" s="78"/>
    </row>
    <row r="647" ht="15.75" customHeight="1">
      <c r="P647" s="78"/>
      <c r="Q647" s="78"/>
      <c r="R647" s="78"/>
      <c r="S647" s="78"/>
      <c r="T647" s="78"/>
      <c r="U647" s="78"/>
      <c r="V647" s="78"/>
    </row>
    <row r="648" ht="15.75" customHeight="1">
      <c r="P648" s="78"/>
      <c r="Q648" s="78"/>
      <c r="R648" s="78"/>
      <c r="S648" s="78"/>
      <c r="T648" s="78"/>
      <c r="U648" s="78"/>
      <c r="V648" s="78"/>
    </row>
    <row r="649" ht="15.75" customHeight="1">
      <c r="P649" s="78"/>
      <c r="Q649" s="78"/>
      <c r="R649" s="78"/>
      <c r="S649" s="78"/>
      <c r="T649" s="78"/>
      <c r="U649" s="78"/>
      <c r="V649" s="78"/>
    </row>
    <row r="650" ht="15.75" customHeight="1">
      <c r="P650" s="78"/>
      <c r="Q650" s="78"/>
      <c r="R650" s="78"/>
      <c r="S650" s="78"/>
      <c r="T650" s="78"/>
      <c r="U650" s="78"/>
      <c r="V650" s="78"/>
    </row>
    <row r="651" ht="15.75" customHeight="1">
      <c r="P651" s="78"/>
      <c r="Q651" s="78"/>
      <c r="R651" s="78"/>
      <c r="S651" s="78"/>
      <c r="T651" s="78"/>
      <c r="U651" s="78"/>
      <c r="V651" s="78"/>
    </row>
    <row r="652" ht="15.75" customHeight="1">
      <c r="P652" s="78"/>
      <c r="Q652" s="78"/>
      <c r="R652" s="78"/>
      <c r="S652" s="78"/>
      <c r="T652" s="78"/>
      <c r="U652" s="78"/>
      <c r="V652" s="78"/>
    </row>
    <row r="653" ht="15.75" customHeight="1">
      <c r="P653" s="78"/>
      <c r="Q653" s="78"/>
      <c r="R653" s="78"/>
      <c r="S653" s="78"/>
      <c r="T653" s="78"/>
      <c r="U653" s="78"/>
      <c r="V653" s="78"/>
    </row>
    <row r="654" ht="15.75" customHeight="1">
      <c r="P654" s="78"/>
      <c r="Q654" s="78"/>
      <c r="R654" s="78"/>
      <c r="S654" s="78"/>
      <c r="T654" s="78"/>
      <c r="U654" s="78"/>
      <c r="V654" s="78"/>
    </row>
    <row r="655" ht="15.75" customHeight="1">
      <c r="P655" s="78"/>
      <c r="Q655" s="78"/>
      <c r="R655" s="78"/>
      <c r="S655" s="78"/>
      <c r="T655" s="78"/>
      <c r="U655" s="78"/>
      <c r="V655" s="78"/>
    </row>
    <row r="656" ht="15.75" customHeight="1">
      <c r="P656" s="78"/>
      <c r="Q656" s="78"/>
      <c r="R656" s="78"/>
      <c r="S656" s="78"/>
      <c r="T656" s="78"/>
      <c r="U656" s="78"/>
      <c r="V656" s="78"/>
    </row>
    <row r="657" ht="15.75" customHeight="1">
      <c r="P657" s="78"/>
      <c r="Q657" s="78"/>
      <c r="R657" s="78"/>
      <c r="S657" s="78"/>
      <c r="T657" s="78"/>
      <c r="U657" s="78"/>
      <c r="V657" s="78"/>
    </row>
    <row r="658" ht="15.75" customHeight="1">
      <c r="P658" s="78"/>
      <c r="Q658" s="78"/>
      <c r="R658" s="78"/>
      <c r="S658" s="78"/>
      <c r="T658" s="78"/>
      <c r="U658" s="78"/>
      <c r="V658" s="78"/>
    </row>
    <row r="659" ht="15.75" customHeight="1">
      <c r="P659" s="78"/>
      <c r="Q659" s="78"/>
      <c r="R659" s="78"/>
      <c r="S659" s="78"/>
      <c r="T659" s="78"/>
      <c r="U659" s="78"/>
      <c r="V659" s="78"/>
    </row>
    <row r="660" ht="15.75" customHeight="1">
      <c r="P660" s="78"/>
      <c r="Q660" s="78"/>
      <c r="R660" s="78"/>
      <c r="S660" s="78"/>
      <c r="T660" s="78"/>
      <c r="U660" s="78"/>
      <c r="V660" s="78"/>
    </row>
    <row r="661" ht="15.75" customHeight="1">
      <c r="P661" s="78"/>
      <c r="Q661" s="78"/>
      <c r="R661" s="78"/>
      <c r="S661" s="78"/>
      <c r="T661" s="78"/>
      <c r="U661" s="78"/>
      <c r="V661" s="78"/>
    </row>
    <row r="662" ht="15.75" customHeight="1">
      <c r="P662" s="78"/>
      <c r="Q662" s="78"/>
      <c r="R662" s="78"/>
      <c r="S662" s="78"/>
      <c r="T662" s="78"/>
      <c r="U662" s="78"/>
      <c r="V662" s="78"/>
    </row>
    <row r="663" ht="15.75" customHeight="1">
      <c r="P663" s="78"/>
      <c r="Q663" s="78"/>
      <c r="R663" s="78"/>
      <c r="S663" s="78"/>
      <c r="T663" s="78"/>
      <c r="U663" s="78"/>
      <c r="V663" s="78"/>
    </row>
    <row r="664" ht="15.75" customHeight="1">
      <c r="P664" s="78"/>
      <c r="Q664" s="78"/>
      <c r="R664" s="78"/>
      <c r="S664" s="78"/>
      <c r="T664" s="78"/>
      <c r="U664" s="78"/>
      <c r="V664" s="78"/>
    </row>
    <row r="665" ht="15.75" customHeight="1">
      <c r="P665" s="78"/>
      <c r="Q665" s="78"/>
      <c r="R665" s="78"/>
      <c r="S665" s="78"/>
      <c r="T665" s="78"/>
      <c r="U665" s="78"/>
      <c r="V665" s="78"/>
    </row>
    <row r="666" ht="15.75" customHeight="1">
      <c r="P666" s="78"/>
      <c r="Q666" s="78"/>
      <c r="R666" s="78"/>
      <c r="S666" s="78"/>
      <c r="T666" s="78"/>
      <c r="U666" s="78"/>
      <c r="V666" s="78"/>
    </row>
    <row r="667" ht="15.75" customHeight="1">
      <c r="P667" s="78"/>
      <c r="Q667" s="78"/>
      <c r="R667" s="78"/>
      <c r="S667" s="78"/>
      <c r="T667" s="78"/>
      <c r="U667" s="78"/>
      <c r="V667" s="78"/>
    </row>
    <row r="668" ht="15.75" customHeight="1">
      <c r="P668" s="78"/>
      <c r="Q668" s="78"/>
      <c r="R668" s="78"/>
      <c r="S668" s="78"/>
      <c r="T668" s="78"/>
      <c r="U668" s="78"/>
      <c r="V668" s="78"/>
    </row>
    <row r="669" ht="15.75" customHeight="1">
      <c r="P669" s="78"/>
      <c r="Q669" s="78"/>
      <c r="R669" s="78"/>
      <c r="S669" s="78"/>
      <c r="T669" s="78"/>
      <c r="U669" s="78"/>
      <c r="V669" s="78"/>
    </row>
    <row r="670" ht="15.75" customHeight="1">
      <c r="P670" s="78"/>
      <c r="Q670" s="78"/>
      <c r="R670" s="78"/>
      <c r="S670" s="78"/>
      <c r="T670" s="78"/>
      <c r="U670" s="78"/>
      <c r="V670" s="78"/>
    </row>
    <row r="671" ht="15.75" customHeight="1">
      <c r="P671" s="78"/>
      <c r="Q671" s="78"/>
      <c r="R671" s="78"/>
      <c r="S671" s="78"/>
      <c r="T671" s="78"/>
      <c r="U671" s="78"/>
      <c r="V671" s="78"/>
    </row>
    <row r="672" ht="15.75" customHeight="1">
      <c r="P672" s="78"/>
      <c r="Q672" s="78"/>
      <c r="R672" s="78"/>
      <c r="S672" s="78"/>
      <c r="T672" s="78"/>
      <c r="U672" s="78"/>
      <c r="V672" s="78"/>
    </row>
    <row r="673" ht="15.75" customHeight="1">
      <c r="P673" s="78"/>
      <c r="Q673" s="78"/>
      <c r="R673" s="78"/>
      <c r="S673" s="78"/>
      <c r="T673" s="78"/>
      <c r="U673" s="78"/>
      <c r="V673" s="78"/>
    </row>
    <row r="674" ht="15.75" customHeight="1">
      <c r="P674" s="78"/>
      <c r="Q674" s="78"/>
      <c r="R674" s="78"/>
      <c r="S674" s="78"/>
      <c r="T674" s="78"/>
      <c r="U674" s="78"/>
      <c r="V674" s="78"/>
    </row>
    <row r="675" ht="15.75" customHeight="1">
      <c r="P675" s="78"/>
      <c r="Q675" s="78"/>
      <c r="R675" s="78"/>
      <c r="S675" s="78"/>
      <c r="T675" s="78"/>
      <c r="U675" s="78"/>
      <c r="V675" s="78"/>
    </row>
    <row r="676" ht="15.75" customHeight="1">
      <c r="P676" s="78"/>
      <c r="Q676" s="78"/>
      <c r="R676" s="78"/>
      <c r="S676" s="78"/>
      <c r="T676" s="78"/>
      <c r="U676" s="78"/>
      <c r="V676" s="78"/>
    </row>
    <row r="677" ht="15.75" customHeight="1">
      <c r="P677" s="78"/>
      <c r="Q677" s="78"/>
      <c r="R677" s="78"/>
      <c r="S677" s="78"/>
      <c r="T677" s="78"/>
      <c r="U677" s="78"/>
      <c r="V677" s="78"/>
    </row>
    <row r="678" ht="15.75" customHeight="1">
      <c r="P678" s="78"/>
      <c r="Q678" s="78"/>
      <c r="R678" s="78"/>
      <c r="S678" s="78"/>
      <c r="T678" s="78"/>
      <c r="U678" s="78"/>
      <c r="V678" s="78"/>
    </row>
    <row r="679" ht="15.75" customHeight="1">
      <c r="P679" s="78"/>
      <c r="Q679" s="78"/>
      <c r="R679" s="78"/>
      <c r="S679" s="78"/>
      <c r="T679" s="78"/>
      <c r="U679" s="78"/>
      <c r="V679" s="78"/>
    </row>
    <row r="680" ht="15.75" customHeight="1">
      <c r="P680" s="78"/>
      <c r="Q680" s="78"/>
      <c r="R680" s="78"/>
      <c r="S680" s="78"/>
      <c r="T680" s="78"/>
      <c r="U680" s="78"/>
      <c r="V680" s="78"/>
    </row>
    <row r="681" ht="15.75" customHeight="1">
      <c r="P681" s="78"/>
      <c r="Q681" s="78"/>
      <c r="R681" s="78"/>
      <c r="S681" s="78"/>
      <c r="T681" s="78"/>
      <c r="U681" s="78"/>
      <c r="V681" s="78"/>
    </row>
    <row r="682" ht="15.75" customHeight="1">
      <c r="P682" s="78"/>
      <c r="Q682" s="78"/>
      <c r="R682" s="78"/>
      <c r="S682" s="78"/>
      <c r="T682" s="78"/>
      <c r="U682" s="78"/>
      <c r="V682" s="78"/>
    </row>
    <row r="683" ht="15.75" customHeight="1">
      <c r="P683" s="78"/>
      <c r="Q683" s="78"/>
      <c r="R683" s="78"/>
      <c r="S683" s="78"/>
      <c r="T683" s="78"/>
      <c r="U683" s="78"/>
      <c r="V683" s="78"/>
    </row>
    <row r="684" ht="15.75" customHeight="1">
      <c r="P684" s="78"/>
      <c r="Q684" s="78"/>
      <c r="R684" s="78"/>
      <c r="S684" s="78"/>
      <c r="T684" s="78"/>
      <c r="U684" s="78"/>
      <c r="V684" s="78"/>
    </row>
    <row r="685" ht="15.75" customHeight="1">
      <c r="P685" s="78"/>
      <c r="Q685" s="78"/>
      <c r="R685" s="78"/>
      <c r="S685" s="78"/>
      <c r="T685" s="78"/>
      <c r="U685" s="78"/>
      <c r="V685" s="78"/>
    </row>
    <row r="686" ht="15.75" customHeight="1">
      <c r="P686" s="78"/>
      <c r="Q686" s="78"/>
      <c r="R686" s="78"/>
      <c r="S686" s="78"/>
      <c r="T686" s="78"/>
      <c r="U686" s="78"/>
      <c r="V686" s="78"/>
    </row>
    <row r="687" ht="15.75" customHeight="1">
      <c r="P687" s="78"/>
      <c r="Q687" s="78"/>
      <c r="R687" s="78"/>
      <c r="S687" s="78"/>
      <c r="T687" s="78"/>
      <c r="U687" s="78"/>
      <c r="V687" s="78"/>
    </row>
    <row r="688" ht="15.75" customHeight="1">
      <c r="P688" s="78"/>
      <c r="Q688" s="78"/>
      <c r="R688" s="78"/>
      <c r="S688" s="78"/>
      <c r="T688" s="78"/>
      <c r="U688" s="78"/>
      <c r="V688" s="78"/>
    </row>
    <row r="689" ht="15.75" customHeight="1">
      <c r="P689" s="78"/>
      <c r="Q689" s="78"/>
      <c r="R689" s="78"/>
      <c r="S689" s="78"/>
      <c r="T689" s="78"/>
      <c r="U689" s="78"/>
      <c r="V689" s="78"/>
    </row>
    <row r="690" ht="15.75" customHeight="1">
      <c r="P690" s="78"/>
      <c r="Q690" s="78"/>
      <c r="R690" s="78"/>
      <c r="S690" s="78"/>
      <c r="T690" s="78"/>
      <c r="U690" s="78"/>
      <c r="V690" s="78"/>
    </row>
    <row r="691" ht="15.75" customHeight="1">
      <c r="P691" s="78"/>
      <c r="Q691" s="78"/>
      <c r="R691" s="78"/>
      <c r="S691" s="78"/>
      <c r="T691" s="78"/>
      <c r="U691" s="78"/>
      <c r="V691" s="78"/>
    </row>
    <row r="692" ht="15.75" customHeight="1">
      <c r="P692" s="78"/>
      <c r="Q692" s="78"/>
      <c r="R692" s="78"/>
      <c r="S692" s="78"/>
      <c r="T692" s="78"/>
      <c r="U692" s="78"/>
      <c r="V692" s="78"/>
    </row>
    <row r="693" ht="15.75" customHeight="1">
      <c r="P693" s="78"/>
      <c r="Q693" s="78"/>
      <c r="R693" s="78"/>
      <c r="S693" s="78"/>
      <c r="T693" s="78"/>
      <c r="U693" s="78"/>
      <c r="V693" s="78"/>
    </row>
    <row r="694" ht="15.75" customHeight="1">
      <c r="P694" s="78"/>
      <c r="Q694" s="78"/>
      <c r="R694" s="78"/>
      <c r="S694" s="78"/>
      <c r="T694" s="78"/>
      <c r="U694" s="78"/>
      <c r="V694" s="78"/>
    </row>
    <row r="695" ht="15.75" customHeight="1">
      <c r="P695" s="78"/>
      <c r="Q695" s="78"/>
      <c r="R695" s="78"/>
      <c r="S695" s="78"/>
      <c r="T695" s="78"/>
      <c r="U695" s="78"/>
      <c r="V695" s="78"/>
    </row>
    <row r="696" ht="15.75" customHeight="1">
      <c r="P696" s="78"/>
      <c r="Q696" s="78"/>
      <c r="R696" s="78"/>
      <c r="S696" s="78"/>
      <c r="T696" s="78"/>
      <c r="U696" s="78"/>
      <c r="V696" s="78"/>
    </row>
    <row r="697" ht="15.75" customHeight="1">
      <c r="P697" s="78"/>
      <c r="Q697" s="78"/>
      <c r="R697" s="78"/>
      <c r="S697" s="78"/>
      <c r="T697" s="78"/>
      <c r="U697" s="78"/>
      <c r="V697" s="78"/>
    </row>
    <row r="698" ht="15.75" customHeight="1">
      <c r="P698" s="78"/>
      <c r="Q698" s="78"/>
      <c r="R698" s="78"/>
      <c r="S698" s="78"/>
      <c r="T698" s="78"/>
      <c r="U698" s="78"/>
      <c r="V698" s="78"/>
    </row>
    <row r="699" ht="15.75" customHeight="1">
      <c r="P699" s="78"/>
      <c r="Q699" s="78"/>
      <c r="R699" s="78"/>
      <c r="S699" s="78"/>
      <c r="T699" s="78"/>
      <c r="U699" s="78"/>
      <c r="V699" s="78"/>
    </row>
    <row r="700" ht="15.75" customHeight="1">
      <c r="P700" s="78"/>
      <c r="Q700" s="78"/>
      <c r="R700" s="78"/>
      <c r="S700" s="78"/>
      <c r="T700" s="78"/>
      <c r="U700" s="78"/>
      <c r="V700" s="78"/>
    </row>
    <row r="701" ht="15.75" customHeight="1">
      <c r="P701" s="78"/>
      <c r="Q701" s="78"/>
      <c r="R701" s="78"/>
      <c r="S701" s="78"/>
      <c r="T701" s="78"/>
      <c r="U701" s="78"/>
      <c r="V701" s="78"/>
    </row>
    <row r="702" ht="15.75" customHeight="1">
      <c r="P702" s="78"/>
      <c r="Q702" s="78"/>
      <c r="R702" s="78"/>
      <c r="S702" s="78"/>
      <c r="T702" s="78"/>
      <c r="U702" s="78"/>
      <c r="V702" s="78"/>
    </row>
    <row r="703" ht="15.75" customHeight="1">
      <c r="P703" s="78"/>
      <c r="Q703" s="78"/>
      <c r="R703" s="78"/>
      <c r="S703" s="78"/>
      <c r="T703" s="78"/>
      <c r="U703" s="78"/>
      <c r="V703" s="78"/>
    </row>
    <row r="704" ht="15.75" customHeight="1">
      <c r="P704" s="78"/>
      <c r="Q704" s="78"/>
      <c r="R704" s="78"/>
      <c r="S704" s="78"/>
      <c r="T704" s="78"/>
      <c r="U704" s="78"/>
      <c r="V704" s="78"/>
    </row>
    <row r="705" ht="15.75" customHeight="1">
      <c r="P705" s="78"/>
      <c r="Q705" s="78"/>
      <c r="R705" s="78"/>
      <c r="S705" s="78"/>
      <c r="T705" s="78"/>
      <c r="U705" s="78"/>
      <c r="V705" s="78"/>
    </row>
    <row r="706" ht="15.75" customHeight="1">
      <c r="P706" s="78"/>
      <c r="Q706" s="78"/>
      <c r="R706" s="78"/>
      <c r="S706" s="78"/>
      <c r="T706" s="78"/>
      <c r="U706" s="78"/>
      <c r="V706" s="78"/>
    </row>
    <row r="707" ht="15.75" customHeight="1">
      <c r="P707" s="78"/>
      <c r="Q707" s="78"/>
      <c r="R707" s="78"/>
      <c r="S707" s="78"/>
      <c r="T707" s="78"/>
      <c r="U707" s="78"/>
      <c r="V707" s="78"/>
    </row>
    <row r="708" ht="15.75" customHeight="1">
      <c r="P708" s="78"/>
      <c r="Q708" s="78"/>
      <c r="R708" s="78"/>
      <c r="S708" s="78"/>
      <c r="T708" s="78"/>
      <c r="U708" s="78"/>
      <c r="V708" s="78"/>
    </row>
    <row r="709" ht="15.75" customHeight="1">
      <c r="P709" s="78"/>
      <c r="Q709" s="78"/>
      <c r="R709" s="78"/>
      <c r="S709" s="78"/>
      <c r="T709" s="78"/>
      <c r="U709" s="78"/>
      <c r="V709" s="78"/>
    </row>
    <row r="710" ht="15.75" customHeight="1">
      <c r="P710" s="78"/>
      <c r="Q710" s="78"/>
      <c r="R710" s="78"/>
      <c r="S710" s="78"/>
      <c r="T710" s="78"/>
      <c r="U710" s="78"/>
      <c r="V710" s="78"/>
    </row>
    <row r="711" ht="15.75" customHeight="1">
      <c r="P711" s="78"/>
      <c r="Q711" s="78"/>
      <c r="R711" s="78"/>
      <c r="S711" s="78"/>
      <c r="T711" s="78"/>
      <c r="U711" s="78"/>
      <c r="V711" s="78"/>
    </row>
    <row r="712" ht="15.75" customHeight="1">
      <c r="P712" s="78"/>
      <c r="Q712" s="78"/>
      <c r="R712" s="78"/>
      <c r="S712" s="78"/>
      <c r="T712" s="78"/>
      <c r="U712" s="78"/>
      <c r="V712" s="78"/>
    </row>
    <row r="713" ht="15.75" customHeight="1">
      <c r="P713" s="78"/>
      <c r="Q713" s="78"/>
      <c r="R713" s="78"/>
      <c r="S713" s="78"/>
      <c r="T713" s="78"/>
      <c r="U713" s="78"/>
      <c r="V713" s="78"/>
    </row>
    <row r="714" ht="15.75" customHeight="1">
      <c r="P714" s="78"/>
      <c r="Q714" s="78"/>
      <c r="R714" s="78"/>
      <c r="S714" s="78"/>
      <c r="T714" s="78"/>
      <c r="U714" s="78"/>
      <c r="V714" s="78"/>
    </row>
    <row r="715" ht="15.75" customHeight="1">
      <c r="P715" s="78"/>
      <c r="Q715" s="78"/>
      <c r="R715" s="78"/>
      <c r="S715" s="78"/>
      <c r="T715" s="78"/>
      <c r="U715" s="78"/>
      <c r="V715" s="78"/>
    </row>
    <row r="716" ht="15.75" customHeight="1">
      <c r="P716" s="78"/>
      <c r="Q716" s="78"/>
      <c r="R716" s="78"/>
      <c r="S716" s="78"/>
      <c r="T716" s="78"/>
      <c r="U716" s="78"/>
      <c r="V716" s="78"/>
    </row>
    <row r="717" ht="15.75" customHeight="1">
      <c r="P717" s="78"/>
      <c r="Q717" s="78"/>
      <c r="R717" s="78"/>
      <c r="S717" s="78"/>
      <c r="T717" s="78"/>
      <c r="U717" s="78"/>
      <c r="V717" s="78"/>
    </row>
    <row r="718" ht="15.75" customHeight="1">
      <c r="P718" s="78"/>
      <c r="Q718" s="78"/>
      <c r="R718" s="78"/>
      <c r="S718" s="78"/>
      <c r="T718" s="78"/>
      <c r="U718" s="78"/>
      <c r="V718" s="78"/>
    </row>
    <row r="719" ht="15.75" customHeight="1">
      <c r="P719" s="78"/>
      <c r="Q719" s="78"/>
      <c r="R719" s="78"/>
      <c r="S719" s="78"/>
      <c r="T719" s="78"/>
      <c r="U719" s="78"/>
      <c r="V719" s="78"/>
    </row>
    <row r="720" ht="15.75" customHeight="1">
      <c r="P720" s="78"/>
      <c r="Q720" s="78"/>
      <c r="R720" s="78"/>
      <c r="S720" s="78"/>
      <c r="T720" s="78"/>
      <c r="U720" s="78"/>
      <c r="V720" s="78"/>
    </row>
    <row r="721" ht="15.75" customHeight="1">
      <c r="P721" s="78"/>
      <c r="Q721" s="78"/>
      <c r="R721" s="78"/>
      <c r="S721" s="78"/>
      <c r="T721" s="78"/>
      <c r="U721" s="78"/>
      <c r="V721" s="78"/>
    </row>
    <row r="722" ht="15.75" customHeight="1">
      <c r="P722" s="78"/>
      <c r="Q722" s="78"/>
      <c r="R722" s="78"/>
      <c r="S722" s="78"/>
      <c r="T722" s="78"/>
      <c r="U722" s="78"/>
      <c r="V722" s="78"/>
    </row>
    <row r="723" ht="15.75" customHeight="1">
      <c r="P723" s="78"/>
      <c r="Q723" s="78"/>
      <c r="R723" s="78"/>
      <c r="S723" s="78"/>
      <c r="T723" s="78"/>
      <c r="U723" s="78"/>
      <c r="V723" s="78"/>
    </row>
    <row r="724" ht="15.75" customHeight="1">
      <c r="P724" s="78"/>
      <c r="Q724" s="78"/>
      <c r="R724" s="78"/>
      <c r="S724" s="78"/>
      <c r="T724" s="78"/>
      <c r="U724" s="78"/>
      <c r="V724" s="78"/>
    </row>
    <row r="725" ht="15.75" customHeight="1">
      <c r="P725" s="78"/>
      <c r="Q725" s="78"/>
      <c r="R725" s="78"/>
      <c r="S725" s="78"/>
      <c r="T725" s="78"/>
      <c r="U725" s="78"/>
      <c r="V725" s="78"/>
    </row>
    <row r="726" ht="15.75" customHeight="1">
      <c r="P726" s="78"/>
      <c r="Q726" s="78"/>
      <c r="R726" s="78"/>
      <c r="S726" s="78"/>
      <c r="T726" s="78"/>
      <c r="U726" s="78"/>
      <c r="V726" s="78"/>
    </row>
    <row r="727" ht="15.75" customHeight="1">
      <c r="P727" s="78"/>
      <c r="Q727" s="78"/>
      <c r="R727" s="78"/>
      <c r="S727" s="78"/>
      <c r="T727" s="78"/>
      <c r="U727" s="78"/>
      <c r="V727" s="78"/>
    </row>
    <row r="728" ht="15.75" customHeight="1">
      <c r="P728" s="78"/>
      <c r="Q728" s="78"/>
      <c r="R728" s="78"/>
      <c r="S728" s="78"/>
      <c r="T728" s="78"/>
      <c r="U728" s="78"/>
      <c r="V728" s="78"/>
    </row>
    <row r="729" ht="15.75" customHeight="1">
      <c r="P729" s="78"/>
      <c r="Q729" s="78"/>
      <c r="R729" s="78"/>
      <c r="S729" s="78"/>
      <c r="T729" s="78"/>
      <c r="U729" s="78"/>
      <c r="V729" s="78"/>
    </row>
    <row r="730" ht="15.75" customHeight="1">
      <c r="P730" s="78"/>
      <c r="Q730" s="78"/>
      <c r="R730" s="78"/>
      <c r="S730" s="78"/>
      <c r="T730" s="78"/>
      <c r="U730" s="78"/>
      <c r="V730" s="78"/>
    </row>
    <row r="731" ht="15.75" customHeight="1">
      <c r="P731" s="78"/>
      <c r="Q731" s="78"/>
      <c r="R731" s="78"/>
      <c r="S731" s="78"/>
      <c r="T731" s="78"/>
      <c r="U731" s="78"/>
      <c r="V731" s="78"/>
    </row>
    <row r="732" ht="15.75" customHeight="1">
      <c r="P732" s="78"/>
      <c r="Q732" s="78"/>
      <c r="R732" s="78"/>
      <c r="S732" s="78"/>
      <c r="T732" s="78"/>
      <c r="U732" s="78"/>
      <c r="V732" s="78"/>
    </row>
    <row r="733" ht="15.75" customHeight="1">
      <c r="P733" s="78"/>
      <c r="Q733" s="78"/>
      <c r="R733" s="78"/>
      <c r="S733" s="78"/>
      <c r="T733" s="78"/>
      <c r="U733" s="78"/>
      <c r="V733" s="78"/>
    </row>
    <row r="734" ht="15.75" customHeight="1">
      <c r="P734" s="78"/>
      <c r="Q734" s="78"/>
      <c r="R734" s="78"/>
      <c r="S734" s="78"/>
      <c r="T734" s="78"/>
      <c r="U734" s="78"/>
      <c r="V734" s="78"/>
    </row>
    <row r="735" ht="15.75" customHeight="1">
      <c r="P735" s="78"/>
      <c r="Q735" s="78"/>
      <c r="R735" s="78"/>
      <c r="S735" s="78"/>
      <c r="T735" s="78"/>
      <c r="U735" s="78"/>
      <c r="V735" s="78"/>
    </row>
    <row r="736" ht="15.75" customHeight="1">
      <c r="P736" s="78"/>
      <c r="Q736" s="78"/>
      <c r="R736" s="78"/>
      <c r="S736" s="78"/>
      <c r="T736" s="78"/>
      <c r="U736" s="78"/>
      <c r="V736" s="78"/>
    </row>
    <row r="737" ht="15.75" customHeight="1">
      <c r="P737" s="78"/>
      <c r="Q737" s="78"/>
      <c r="R737" s="78"/>
      <c r="S737" s="78"/>
      <c r="T737" s="78"/>
      <c r="U737" s="78"/>
      <c r="V737" s="78"/>
    </row>
    <row r="738" ht="15.75" customHeight="1">
      <c r="P738" s="78"/>
      <c r="Q738" s="78"/>
      <c r="R738" s="78"/>
      <c r="S738" s="78"/>
      <c r="T738" s="78"/>
      <c r="U738" s="78"/>
      <c r="V738" s="78"/>
    </row>
    <row r="739" ht="15.75" customHeight="1">
      <c r="P739" s="78"/>
      <c r="Q739" s="78"/>
      <c r="R739" s="78"/>
      <c r="S739" s="78"/>
      <c r="T739" s="78"/>
      <c r="U739" s="78"/>
      <c r="V739" s="78"/>
    </row>
    <row r="740" ht="15.75" customHeight="1">
      <c r="P740" s="78"/>
      <c r="Q740" s="78"/>
      <c r="R740" s="78"/>
      <c r="S740" s="78"/>
      <c r="T740" s="78"/>
      <c r="U740" s="78"/>
      <c r="V740" s="78"/>
    </row>
    <row r="741" ht="15.75" customHeight="1">
      <c r="P741" s="78"/>
      <c r="Q741" s="78"/>
      <c r="R741" s="78"/>
      <c r="S741" s="78"/>
      <c r="T741" s="78"/>
      <c r="U741" s="78"/>
      <c r="V741" s="78"/>
    </row>
    <row r="742" ht="15.75" customHeight="1">
      <c r="P742" s="78"/>
      <c r="Q742" s="78"/>
      <c r="R742" s="78"/>
      <c r="S742" s="78"/>
      <c r="T742" s="78"/>
      <c r="U742" s="78"/>
      <c r="V742" s="78"/>
    </row>
    <row r="743" ht="15.75" customHeight="1">
      <c r="P743" s="78"/>
      <c r="Q743" s="78"/>
      <c r="R743" s="78"/>
      <c r="S743" s="78"/>
      <c r="T743" s="78"/>
      <c r="U743" s="78"/>
      <c r="V743" s="78"/>
    </row>
    <row r="744" ht="15.75" customHeight="1">
      <c r="P744" s="78"/>
      <c r="Q744" s="78"/>
      <c r="R744" s="78"/>
      <c r="S744" s="78"/>
      <c r="T744" s="78"/>
      <c r="U744" s="78"/>
      <c r="V744" s="78"/>
    </row>
    <row r="745" ht="15.75" customHeight="1">
      <c r="P745" s="78"/>
      <c r="Q745" s="78"/>
      <c r="R745" s="78"/>
      <c r="S745" s="78"/>
      <c r="T745" s="78"/>
      <c r="U745" s="78"/>
      <c r="V745" s="78"/>
    </row>
    <row r="746" ht="15.75" customHeight="1">
      <c r="P746" s="78"/>
      <c r="Q746" s="78"/>
      <c r="R746" s="78"/>
      <c r="S746" s="78"/>
      <c r="T746" s="78"/>
      <c r="U746" s="78"/>
      <c r="V746" s="78"/>
    </row>
    <row r="747" ht="15.75" customHeight="1">
      <c r="P747" s="78"/>
      <c r="Q747" s="78"/>
      <c r="R747" s="78"/>
      <c r="S747" s="78"/>
      <c r="T747" s="78"/>
      <c r="U747" s="78"/>
      <c r="V747" s="78"/>
    </row>
    <row r="748" ht="15.75" customHeight="1">
      <c r="P748" s="78"/>
      <c r="Q748" s="78"/>
      <c r="R748" s="78"/>
      <c r="S748" s="78"/>
      <c r="T748" s="78"/>
      <c r="U748" s="78"/>
      <c r="V748" s="78"/>
    </row>
    <row r="749" ht="15.75" customHeight="1">
      <c r="P749" s="78"/>
      <c r="Q749" s="78"/>
      <c r="R749" s="78"/>
      <c r="S749" s="78"/>
      <c r="T749" s="78"/>
      <c r="U749" s="78"/>
      <c r="V749" s="78"/>
    </row>
    <row r="750" ht="15.75" customHeight="1">
      <c r="P750" s="78"/>
      <c r="Q750" s="78"/>
      <c r="R750" s="78"/>
      <c r="S750" s="78"/>
      <c r="T750" s="78"/>
      <c r="U750" s="78"/>
      <c r="V750" s="78"/>
    </row>
    <row r="751" ht="15.75" customHeight="1">
      <c r="P751" s="78"/>
      <c r="Q751" s="78"/>
      <c r="R751" s="78"/>
      <c r="S751" s="78"/>
      <c r="T751" s="78"/>
      <c r="U751" s="78"/>
      <c r="V751" s="78"/>
    </row>
    <row r="752" ht="15.75" customHeight="1">
      <c r="P752" s="78"/>
      <c r="Q752" s="78"/>
      <c r="R752" s="78"/>
      <c r="S752" s="78"/>
      <c r="T752" s="78"/>
      <c r="U752" s="78"/>
      <c r="V752" s="78"/>
    </row>
    <row r="753" ht="15.75" customHeight="1">
      <c r="P753" s="78"/>
      <c r="Q753" s="78"/>
      <c r="R753" s="78"/>
      <c r="S753" s="78"/>
      <c r="T753" s="78"/>
      <c r="U753" s="78"/>
      <c r="V753" s="78"/>
    </row>
    <row r="754" ht="15.75" customHeight="1">
      <c r="P754" s="78"/>
      <c r="Q754" s="78"/>
      <c r="R754" s="78"/>
      <c r="S754" s="78"/>
      <c r="T754" s="78"/>
      <c r="U754" s="78"/>
      <c r="V754" s="78"/>
    </row>
    <row r="755" ht="15.75" customHeight="1">
      <c r="P755" s="78"/>
      <c r="Q755" s="78"/>
      <c r="R755" s="78"/>
      <c r="S755" s="78"/>
      <c r="T755" s="78"/>
      <c r="U755" s="78"/>
      <c r="V755" s="78"/>
    </row>
    <row r="756" ht="15.75" customHeight="1">
      <c r="P756" s="78"/>
      <c r="Q756" s="78"/>
      <c r="R756" s="78"/>
      <c r="S756" s="78"/>
      <c r="T756" s="78"/>
      <c r="U756" s="78"/>
      <c r="V756" s="78"/>
    </row>
    <row r="757" ht="15.75" customHeight="1">
      <c r="P757" s="78"/>
      <c r="Q757" s="78"/>
      <c r="R757" s="78"/>
      <c r="S757" s="78"/>
      <c r="T757" s="78"/>
      <c r="U757" s="78"/>
      <c r="V757" s="78"/>
    </row>
    <row r="758" ht="15.75" customHeight="1">
      <c r="P758" s="78"/>
      <c r="Q758" s="78"/>
      <c r="R758" s="78"/>
      <c r="S758" s="78"/>
      <c r="T758" s="78"/>
      <c r="U758" s="78"/>
      <c r="V758" s="78"/>
    </row>
    <row r="759" ht="15.75" customHeight="1">
      <c r="P759" s="78"/>
      <c r="Q759" s="78"/>
      <c r="R759" s="78"/>
      <c r="S759" s="78"/>
      <c r="T759" s="78"/>
      <c r="U759" s="78"/>
      <c r="V759" s="78"/>
    </row>
    <row r="760" ht="15.75" customHeight="1">
      <c r="P760" s="78"/>
      <c r="Q760" s="78"/>
      <c r="R760" s="78"/>
      <c r="S760" s="78"/>
      <c r="T760" s="78"/>
      <c r="U760" s="78"/>
      <c r="V760" s="78"/>
    </row>
    <row r="761" ht="15.75" customHeight="1">
      <c r="P761" s="78"/>
      <c r="Q761" s="78"/>
      <c r="R761" s="78"/>
      <c r="S761" s="78"/>
      <c r="T761" s="78"/>
      <c r="U761" s="78"/>
      <c r="V761" s="78"/>
    </row>
    <row r="762" ht="15.75" customHeight="1">
      <c r="P762" s="78"/>
      <c r="Q762" s="78"/>
      <c r="R762" s="78"/>
      <c r="S762" s="78"/>
      <c r="T762" s="78"/>
      <c r="U762" s="78"/>
      <c r="V762" s="78"/>
    </row>
    <row r="763" ht="15.75" customHeight="1">
      <c r="P763" s="78"/>
      <c r="Q763" s="78"/>
      <c r="R763" s="78"/>
      <c r="S763" s="78"/>
      <c r="T763" s="78"/>
      <c r="U763" s="78"/>
      <c r="V763" s="78"/>
    </row>
    <row r="764" ht="15.75" customHeight="1">
      <c r="P764" s="78"/>
      <c r="Q764" s="78"/>
      <c r="R764" s="78"/>
      <c r="S764" s="78"/>
      <c r="T764" s="78"/>
      <c r="U764" s="78"/>
      <c r="V764" s="78"/>
    </row>
    <row r="765" ht="15.75" customHeight="1">
      <c r="P765" s="78"/>
      <c r="Q765" s="78"/>
      <c r="R765" s="78"/>
      <c r="S765" s="78"/>
      <c r="T765" s="78"/>
      <c r="U765" s="78"/>
      <c r="V765" s="78"/>
    </row>
    <row r="766" ht="15.75" customHeight="1">
      <c r="P766" s="78"/>
      <c r="Q766" s="78"/>
      <c r="R766" s="78"/>
      <c r="S766" s="78"/>
      <c r="T766" s="78"/>
      <c r="U766" s="78"/>
      <c r="V766" s="78"/>
    </row>
    <row r="767" ht="15.75" customHeight="1">
      <c r="P767" s="78"/>
      <c r="Q767" s="78"/>
      <c r="R767" s="78"/>
      <c r="S767" s="78"/>
      <c r="T767" s="78"/>
      <c r="U767" s="78"/>
      <c r="V767" s="78"/>
    </row>
    <row r="768" ht="15.75" customHeight="1">
      <c r="P768" s="78"/>
      <c r="Q768" s="78"/>
      <c r="R768" s="78"/>
      <c r="S768" s="78"/>
      <c r="T768" s="78"/>
      <c r="U768" s="78"/>
      <c r="V768" s="78"/>
    </row>
    <row r="769" ht="15.75" customHeight="1">
      <c r="P769" s="78"/>
      <c r="Q769" s="78"/>
      <c r="R769" s="78"/>
      <c r="S769" s="78"/>
      <c r="T769" s="78"/>
      <c r="U769" s="78"/>
      <c r="V769" s="78"/>
    </row>
    <row r="770" ht="15.75" customHeight="1">
      <c r="P770" s="78"/>
      <c r="Q770" s="78"/>
      <c r="R770" s="78"/>
      <c r="S770" s="78"/>
      <c r="T770" s="78"/>
      <c r="U770" s="78"/>
      <c r="V770" s="78"/>
    </row>
    <row r="771" ht="15.75" customHeight="1">
      <c r="P771" s="78"/>
      <c r="Q771" s="78"/>
      <c r="R771" s="78"/>
      <c r="S771" s="78"/>
      <c r="T771" s="78"/>
      <c r="U771" s="78"/>
      <c r="V771" s="78"/>
    </row>
    <row r="772" ht="15.75" customHeight="1">
      <c r="P772" s="78"/>
      <c r="Q772" s="78"/>
      <c r="R772" s="78"/>
      <c r="S772" s="78"/>
      <c r="T772" s="78"/>
      <c r="U772" s="78"/>
      <c r="V772" s="78"/>
    </row>
    <row r="773" ht="15.75" customHeight="1">
      <c r="P773" s="78"/>
      <c r="Q773" s="78"/>
      <c r="R773" s="78"/>
      <c r="S773" s="78"/>
      <c r="T773" s="78"/>
      <c r="U773" s="78"/>
      <c r="V773" s="78"/>
    </row>
    <row r="774" ht="15.75" customHeight="1">
      <c r="P774" s="78"/>
      <c r="Q774" s="78"/>
      <c r="R774" s="78"/>
      <c r="S774" s="78"/>
      <c r="T774" s="78"/>
      <c r="U774" s="78"/>
      <c r="V774" s="78"/>
    </row>
    <row r="775" ht="15.75" customHeight="1">
      <c r="P775" s="78"/>
      <c r="Q775" s="78"/>
      <c r="R775" s="78"/>
      <c r="S775" s="78"/>
      <c r="T775" s="78"/>
      <c r="U775" s="78"/>
      <c r="V775" s="78"/>
    </row>
    <row r="776" ht="15.75" customHeight="1">
      <c r="P776" s="78"/>
      <c r="Q776" s="78"/>
      <c r="R776" s="78"/>
      <c r="S776" s="78"/>
      <c r="T776" s="78"/>
      <c r="U776" s="78"/>
      <c r="V776" s="78"/>
    </row>
    <row r="777" ht="15.75" customHeight="1">
      <c r="P777" s="78"/>
      <c r="Q777" s="78"/>
      <c r="R777" s="78"/>
      <c r="S777" s="78"/>
      <c r="T777" s="78"/>
      <c r="U777" s="78"/>
      <c r="V777" s="78"/>
    </row>
    <row r="778" ht="15.75" customHeight="1">
      <c r="P778" s="78"/>
      <c r="Q778" s="78"/>
      <c r="R778" s="78"/>
      <c r="S778" s="78"/>
      <c r="T778" s="78"/>
      <c r="U778" s="78"/>
      <c r="V778" s="78"/>
    </row>
    <row r="779" ht="15.75" customHeight="1">
      <c r="P779" s="78"/>
      <c r="Q779" s="78"/>
      <c r="R779" s="78"/>
      <c r="S779" s="78"/>
      <c r="T779" s="78"/>
      <c r="U779" s="78"/>
      <c r="V779" s="78"/>
    </row>
    <row r="780" ht="15.75" customHeight="1">
      <c r="P780" s="78"/>
      <c r="Q780" s="78"/>
      <c r="R780" s="78"/>
      <c r="S780" s="78"/>
      <c r="T780" s="78"/>
      <c r="U780" s="78"/>
      <c r="V780" s="78"/>
    </row>
    <row r="781" ht="15.75" customHeight="1">
      <c r="P781" s="78"/>
      <c r="Q781" s="78"/>
      <c r="R781" s="78"/>
      <c r="S781" s="78"/>
      <c r="T781" s="78"/>
      <c r="U781" s="78"/>
      <c r="V781" s="78"/>
    </row>
    <row r="782" ht="15.75" customHeight="1">
      <c r="P782" s="78"/>
      <c r="Q782" s="78"/>
      <c r="R782" s="78"/>
      <c r="S782" s="78"/>
      <c r="T782" s="78"/>
      <c r="U782" s="78"/>
      <c r="V782" s="78"/>
    </row>
    <row r="783" ht="15.75" customHeight="1">
      <c r="P783" s="78"/>
      <c r="Q783" s="78"/>
      <c r="R783" s="78"/>
      <c r="S783" s="78"/>
      <c r="T783" s="78"/>
      <c r="U783" s="78"/>
      <c r="V783" s="78"/>
    </row>
    <row r="784" ht="15.75" customHeight="1">
      <c r="P784" s="78"/>
      <c r="Q784" s="78"/>
      <c r="R784" s="78"/>
      <c r="S784" s="78"/>
      <c r="T784" s="78"/>
      <c r="U784" s="78"/>
      <c r="V784" s="78"/>
    </row>
    <row r="785" ht="15.75" customHeight="1">
      <c r="P785" s="78"/>
      <c r="Q785" s="78"/>
      <c r="R785" s="78"/>
      <c r="S785" s="78"/>
      <c r="T785" s="78"/>
      <c r="U785" s="78"/>
      <c r="V785" s="78"/>
    </row>
    <row r="786" ht="15.75" customHeight="1">
      <c r="P786" s="78"/>
      <c r="Q786" s="78"/>
      <c r="R786" s="78"/>
      <c r="S786" s="78"/>
      <c r="T786" s="78"/>
      <c r="U786" s="78"/>
      <c r="V786" s="78"/>
    </row>
    <row r="787" ht="15.75" customHeight="1">
      <c r="P787" s="78"/>
      <c r="Q787" s="78"/>
      <c r="R787" s="78"/>
      <c r="S787" s="78"/>
      <c r="T787" s="78"/>
      <c r="U787" s="78"/>
      <c r="V787" s="78"/>
    </row>
    <row r="788" ht="15.75" customHeight="1">
      <c r="P788" s="78"/>
      <c r="Q788" s="78"/>
      <c r="R788" s="78"/>
      <c r="S788" s="78"/>
      <c r="T788" s="78"/>
      <c r="U788" s="78"/>
      <c r="V788" s="78"/>
    </row>
    <row r="789" ht="15.75" customHeight="1">
      <c r="P789" s="78"/>
      <c r="Q789" s="78"/>
      <c r="R789" s="78"/>
      <c r="S789" s="78"/>
      <c r="T789" s="78"/>
      <c r="U789" s="78"/>
      <c r="V789" s="78"/>
    </row>
    <row r="790" ht="15.75" customHeight="1">
      <c r="P790" s="78"/>
      <c r="Q790" s="78"/>
      <c r="R790" s="78"/>
      <c r="S790" s="78"/>
      <c r="T790" s="78"/>
      <c r="U790" s="78"/>
      <c r="V790" s="78"/>
    </row>
    <row r="791" ht="15.75" customHeight="1">
      <c r="P791" s="78"/>
      <c r="Q791" s="78"/>
      <c r="R791" s="78"/>
      <c r="S791" s="78"/>
      <c r="T791" s="78"/>
      <c r="U791" s="78"/>
      <c r="V791" s="78"/>
    </row>
    <row r="792" ht="15.75" customHeight="1">
      <c r="P792" s="78"/>
      <c r="Q792" s="78"/>
      <c r="R792" s="78"/>
      <c r="S792" s="78"/>
      <c r="T792" s="78"/>
      <c r="U792" s="78"/>
      <c r="V792" s="78"/>
    </row>
    <row r="793" ht="15.75" customHeight="1">
      <c r="P793" s="78"/>
      <c r="Q793" s="78"/>
      <c r="R793" s="78"/>
      <c r="S793" s="78"/>
      <c r="T793" s="78"/>
      <c r="U793" s="78"/>
      <c r="V793" s="78"/>
    </row>
    <row r="794" ht="15.75" customHeight="1">
      <c r="P794" s="78"/>
      <c r="Q794" s="78"/>
      <c r="R794" s="78"/>
      <c r="S794" s="78"/>
      <c r="T794" s="78"/>
      <c r="U794" s="78"/>
      <c r="V794" s="78"/>
    </row>
    <row r="795" ht="15.75" customHeight="1">
      <c r="P795" s="78"/>
      <c r="Q795" s="78"/>
      <c r="R795" s="78"/>
      <c r="S795" s="78"/>
      <c r="T795" s="78"/>
      <c r="U795" s="78"/>
      <c r="V795" s="78"/>
    </row>
    <row r="796" ht="15.75" customHeight="1">
      <c r="P796" s="78"/>
      <c r="Q796" s="78"/>
      <c r="R796" s="78"/>
      <c r="S796" s="78"/>
      <c r="T796" s="78"/>
      <c r="U796" s="78"/>
      <c r="V796" s="78"/>
    </row>
    <row r="797" ht="15.75" customHeight="1">
      <c r="P797" s="78"/>
      <c r="Q797" s="78"/>
      <c r="R797" s="78"/>
      <c r="S797" s="78"/>
      <c r="T797" s="78"/>
      <c r="U797" s="78"/>
      <c r="V797" s="78"/>
    </row>
    <row r="798" ht="15.75" customHeight="1">
      <c r="P798" s="78"/>
      <c r="Q798" s="78"/>
      <c r="R798" s="78"/>
      <c r="S798" s="78"/>
      <c r="T798" s="78"/>
      <c r="U798" s="78"/>
      <c r="V798" s="78"/>
    </row>
    <row r="799" ht="15.75" customHeight="1">
      <c r="P799" s="78"/>
      <c r="Q799" s="78"/>
      <c r="R799" s="78"/>
      <c r="S799" s="78"/>
      <c r="T799" s="78"/>
      <c r="U799" s="78"/>
      <c r="V799" s="78"/>
    </row>
    <row r="800" ht="15.75" customHeight="1">
      <c r="P800" s="78"/>
      <c r="Q800" s="78"/>
      <c r="R800" s="78"/>
      <c r="S800" s="78"/>
      <c r="T800" s="78"/>
      <c r="U800" s="78"/>
      <c r="V800" s="78"/>
    </row>
    <row r="801" ht="15.75" customHeight="1">
      <c r="P801" s="78"/>
      <c r="Q801" s="78"/>
      <c r="R801" s="78"/>
      <c r="S801" s="78"/>
      <c r="T801" s="78"/>
      <c r="U801" s="78"/>
      <c r="V801" s="78"/>
    </row>
    <row r="802" ht="15.75" customHeight="1">
      <c r="P802" s="78"/>
      <c r="Q802" s="78"/>
      <c r="R802" s="78"/>
      <c r="S802" s="78"/>
      <c r="T802" s="78"/>
      <c r="U802" s="78"/>
      <c r="V802" s="78"/>
    </row>
    <row r="803" ht="15.75" customHeight="1">
      <c r="P803" s="78"/>
      <c r="Q803" s="78"/>
      <c r="R803" s="78"/>
      <c r="S803" s="78"/>
      <c r="T803" s="78"/>
      <c r="U803" s="78"/>
      <c r="V803" s="78"/>
    </row>
    <row r="804" ht="15.75" customHeight="1">
      <c r="P804" s="78"/>
      <c r="Q804" s="78"/>
      <c r="R804" s="78"/>
      <c r="S804" s="78"/>
      <c r="T804" s="78"/>
      <c r="U804" s="78"/>
      <c r="V804" s="78"/>
    </row>
    <row r="805" ht="15.75" customHeight="1">
      <c r="P805" s="78"/>
      <c r="Q805" s="78"/>
      <c r="R805" s="78"/>
      <c r="S805" s="78"/>
      <c r="T805" s="78"/>
      <c r="U805" s="78"/>
      <c r="V805" s="78"/>
    </row>
    <row r="806" ht="15.75" customHeight="1">
      <c r="P806" s="78"/>
      <c r="Q806" s="78"/>
      <c r="R806" s="78"/>
      <c r="S806" s="78"/>
      <c r="T806" s="78"/>
      <c r="U806" s="78"/>
      <c r="V806" s="78"/>
    </row>
    <row r="807" ht="15.75" customHeight="1">
      <c r="P807" s="78"/>
      <c r="Q807" s="78"/>
      <c r="R807" s="78"/>
      <c r="S807" s="78"/>
      <c r="T807" s="78"/>
      <c r="U807" s="78"/>
      <c r="V807" s="78"/>
    </row>
    <row r="808" ht="15.75" customHeight="1">
      <c r="P808" s="78"/>
      <c r="Q808" s="78"/>
      <c r="R808" s="78"/>
      <c r="S808" s="78"/>
      <c r="T808" s="78"/>
      <c r="U808" s="78"/>
      <c r="V808" s="78"/>
    </row>
    <row r="809" ht="15.75" customHeight="1">
      <c r="P809" s="78"/>
      <c r="Q809" s="78"/>
      <c r="R809" s="78"/>
      <c r="S809" s="78"/>
      <c r="T809" s="78"/>
      <c r="U809" s="78"/>
      <c r="V809" s="78"/>
    </row>
    <row r="810" ht="15.75" customHeight="1">
      <c r="P810" s="78"/>
      <c r="Q810" s="78"/>
      <c r="R810" s="78"/>
      <c r="S810" s="78"/>
      <c r="T810" s="78"/>
      <c r="U810" s="78"/>
      <c r="V810" s="78"/>
    </row>
    <row r="811" ht="15.75" customHeight="1">
      <c r="P811" s="78"/>
      <c r="Q811" s="78"/>
      <c r="R811" s="78"/>
      <c r="S811" s="78"/>
      <c r="T811" s="78"/>
      <c r="U811" s="78"/>
      <c r="V811" s="78"/>
    </row>
    <row r="812" ht="15.75" customHeight="1">
      <c r="P812" s="78"/>
      <c r="Q812" s="78"/>
      <c r="R812" s="78"/>
      <c r="S812" s="78"/>
      <c r="T812" s="78"/>
      <c r="U812" s="78"/>
      <c r="V812" s="78"/>
    </row>
    <row r="813" ht="15.75" customHeight="1">
      <c r="P813" s="78"/>
      <c r="Q813" s="78"/>
      <c r="R813" s="78"/>
      <c r="S813" s="78"/>
      <c r="T813" s="78"/>
      <c r="U813" s="78"/>
      <c r="V813" s="78"/>
    </row>
    <row r="814" ht="15.75" customHeight="1">
      <c r="P814" s="78"/>
      <c r="Q814" s="78"/>
      <c r="R814" s="78"/>
      <c r="S814" s="78"/>
      <c r="T814" s="78"/>
      <c r="U814" s="78"/>
      <c r="V814" s="78"/>
    </row>
    <row r="815" ht="15.75" customHeight="1">
      <c r="P815" s="78"/>
      <c r="Q815" s="78"/>
      <c r="R815" s="78"/>
      <c r="S815" s="78"/>
      <c r="T815" s="78"/>
      <c r="U815" s="78"/>
      <c r="V815" s="78"/>
    </row>
    <row r="816" ht="15.75" customHeight="1">
      <c r="P816" s="78"/>
      <c r="Q816" s="78"/>
      <c r="R816" s="78"/>
      <c r="S816" s="78"/>
      <c r="T816" s="78"/>
      <c r="U816" s="78"/>
      <c r="V816" s="78"/>
    </row>
    <row r="817" ht="15.75" customHeight="1">
      <c r="P817" s="78"/>
      <c r="Q817" s="78"/>
      <c r="R817" s="78"/>
      <c r="S817" s="78"/>
      <c r="T817" s="78"/>
      <c r="U817" s="78"/>
      <c r="V817" s="78"/>
    </row>
    <row r="818" ht="15.75" customHeight="1">
      <c r="P818" s="78"/>
      <c r="Q818" s="78"/>
      <c r="R818" s="78"/>
      <c r="S818" s="78"/>
      <c r="T818" s="78"/>
      <c r="U818" s="78"/>
      <c r="V818" s="78"/>
    </row>
    <row r="819" ht="15.75" customHeight="1">
      <c r="P819" s="78"/>
      <c r="Q819" s="78"/>
      <c r="R819" s="78"/>
      <c r="S819" s="78"/>
      <c r="T819" s="78"/>
      <c r="U819" s="78"/>
      <c r="V819" s="78"/>
    </row>
    <row r="820" ht="15.75" customHeight="1">
      <c r="P820" s="78"/>
      <c r="Q820" s="78"/>
      <c r="R820" s="78"/>
      <c r="S820" s="78"/>
      <c r="T820" s="78"/>
      <c r="U820" s="78"/>
      <c r="V820" s="78"/>
    </row>
    <row r="821" ht="15.75" customHeight="1">
      <c r="P821" s="78"/>
      <c r="Q821" s="78"/>
      <c r="R821" s="78"/>
      <c r="S821" s="78"/>
      <c r="T821" s="78"/>
      <c r="U821" s="78"/>
      <c r="V821" s="78"/>
    </row>
    <row r="822" ht="15.75" customHeight="1">
      <c r="P822" s="78"/>
      <c r="Q822" s="78"/>
      <c r="R822" s="78"/>
      <c r="S822" s="78"/>
      <c r="T822" s="78"/>
      <c r="U822" s="78"/>
      <c r="V822" s="78"/>
    </row>
    <row r="823" ht="15.75" customHeight="1">
      <c r="P823" s="78"/>
      <c r="Q823" s="78"/>
      <c r="R823" s="78"/>
      <c r="S823" s="78"/>
      <c r="T823" s="78"/>
      <c r="U823" s="78"/>
      <c r="V823" s="78"/>
    </row>
    <row r="824" ht="15.75" customHeight="1">
      <c r="P824" s="78"/>
      <c r="Q824" s="78"/>
      <c r="R824" s="78"/>
      <c r="S824" s="78"/>
      <c r="T824" s="78"/>
      <c r="U824" s="78"/>
      <c r="V824" s="78"/>
    </row>
    <row r="825" ht="15.75" customHeight="1">
      <c r="P825" s="78"/>
      <c r="Q825" s="78"/>
      <c r="R825" s="78"/>
      <c r="S825" s="78"/>
      <c r="T825" s="78"/>
      <c r="U825" s="78"/>
      <c r="V825" s="78"/>
    </row>
    <row r="826" ht="15.75" customHeight="1">
      <c r="P826" s="78"/>
      <c r="Q826" s="78"/>
      <c r="R826" s="78"/>
      <c r="S826" s="78"/>
      <c r="T826" s="78"/>
      <c r="U826" s="78"/>
      <c r="V826" s="78"/>
    </row>
    <row r="827" ht="15.75" customHeight="1">
      <c r="P827" s="78"/>
      <c r="Q827" s="78"/>
      <c r="R827" s="78"/>
      <c r="S827" s="78"/>
      <c r="T827" s="78"/>
      <c r="U827" s="78"/>
      <c r="V827" s="78"/>
    </row>
    <row r="828" ht="15.75" customHeight="1">
      <c r="P828" s="78"/>
      <c r="Q828" s="78"/>
      <c r="R828" s="78"/>
      <c r="S828" s="78"/>
      <c r="T828" s="78"/>
      <c r="U828" s="78"/>
      <c r="V828" s="78"/>
    </row>
    <row r="829" ht="15.75" customHeight="1">
      <c r="P829" s="78"/>
      <c r="Q829" s="78"/>
      <c r="R829" s="78"/>
      <c r="S829" s="78"/>
      <c r="T829" s="78"/>
      <c r="U829" s="78"/>
      <c r="V829" s="78"/>
    </row>
    <row r="830" ht="15.75" customHeight="1">
      <c r="P830" s="78"/>
      <c r="Q830" s="78"/>
      <c r="R830" s="78"/>
      <c r="S830" s="78"/>
      <c r="T830" s="78"/>
      <c r="U830" s="78"/>
      <c r="V830" s="78"/>
    </row>
    <row r="831" ht="15.75" customHeight="1">
      <c r="P831" s="78"/>
      <c r="Q831" s="78"/>
      <c r="R831" s="78"/>
      <c r="S831" s="78"/>
      <c r="T831" s="78"/>
      <c r="U831" s="78"/>
      <c r="V831" s="78"/>
    </row>
    <row r="832" ht="15.75" customHeight="1">
      <c r="P832" s="78"/>
      <c r="Q832" s="78"/>
      <c r="R832" s="78"/>
      <c r="S832" s="78"/>
      <c r="T832" s="78"/>
      <c r="U832" s="78"/>
      <c r="V832" s="78"/>
    </row>
    <row r="833" ht="15.75" customHeight="1">
      <c r="P833" s="78"/>
      <c r="Q833" s="78"/>
      <c r="R833" s="78"/>
      <c r="S833" s="78"/>
      <c r="T833" s="78"/>
      <c r="U833" s="78"/>
      <c r="V833" s="78"/>
    </row>
    <row r="834" ht="15.75" customHeight="1">
      <c r="P834" s="78"/>
      <c r="Q834" s="78"/>
      <c r="R834" s="78"/>
      <c r="S834" s="78"/>
      <c r="T834" s="78"/>
      <c r="U834" s="78"/>
      <c r="V834" s="78"/>
    </row>
    <row r="835" ht="15.75" customHeight="1">
      <c r="P835" s="78"/>
      <c r="Q835" s="78"/>
      <c r="R835" s="78"/>
      <c r="S835" s="78"/>
      <c r="T835" s="78"/>
      <c r="U835" s="78"/>
      <c r="V835" s="78"/>
    </row>
    <row r="836" ht="15.75" customHeight="1">
      <c r="P836" s="78"/>
      <c r="Q836" s="78"/>
      <c r="R836" s="78"/>
      <c r="S836" s="78"/>
      <c r="T836" s="78"/>
      <c r="U836" s="78"/>
      <c r="V836" s="78"/>
    </row>
    <row r="837" ht="15.75" customHeight="1">
      <c r="P837" s="78"/>
      <c r="Q837" s="78"/>
      <c r="R837" s="78"/>
      <c r="S837" s="78"/>
      <c r="T837" s="78"/>
      <c r="U837" s="78"/>
      <c r="V837" s="78"/>
    </row>
    <row r="838" ht="15.75" customHeight="1">
      <c r="P838" s="78"/>
      <c r="Q838" s="78"/>
      <c r="R838" s="78"/>
      <c r="S838" s="78"/>
      <c r="T838" s="78"/>
      <c r="U838" s="78"/>
      <c r="V838" s="78"/>
    </row>
    <row r="839" ht="15.75" customHeight="1">
      <c r="P839" s="78"/>
      <c r="Q839" s="78"/>
      <c r="R839" s="78"/>
      <c r="S839" s="78"/>
      <c r="T839" s="78"/>
      <c r="U839" s="78"/>
      <c r="V839" s="78"/>
    </row>
    <row r="840" ht="15.75" customHeight="1">
      <c r="P840" s="78"/>
      <c r="Q840" s="78"/>
      <c r="R840" s="78"/>
      <c r="S840" s="78"/>
      <c r="T840" s="78"/>
      <c r="U840" s="78"/>
      <c r="V840" s="78"/>
    </row>
    <row r="841" ht="15.75" customHeight="1">
      <c r="P841" s="78"/>
      <c r="Q841" s="78"/>
      <c r="R841" s="78"/>
      <c r="S841" s="78"/>
      <c r="T841" s="78"/>
      <c r="U841" s="78"/>
      <c r="V841" s="78"/>
    </row>
    <row r="842" ht="15.75" customHeight="1">
      <c r="P842" s="78"/>
      <c r="Q842" s="78"/>
      <c r="R842" s="78"/>
      <c r="S842" s="78"/>
      <c r="T842" s="78"/>
      <c r="U842" s="78"/>
      <c r="V842" s="78"/>
    </row>
    <row r="843" ht="15.75" customHeight="1">
      <c r="P843" s="78"/>
      <c r="Q843" s="78"/>
      <c r="R843" s="78"/>
      <c r="S843" s="78"/>
      <c r="T843" s="78"/>
      <c r="U843" s="78"/>
      <c r="V843" s="78"/>
    </row>
    <row r="844" ht="15.75" customHeight="1">
      <c r="P844" s="78"/>
      <c r="Q844" s="78"/>
      <c r="R844" s="78"/>
      <c r="S844" s="78"/>
      <c r="T844" s="78"/>
      <c r="U844" s="78"/>
      <c r="V844" s="78"/>
    </row>
    <row r="845" ht="15.75" customHeight="1">
      <c r="P845" s="78"/>
      <c r="Q845" s="78"/>
      <c r="R845" s="78"/>
      <c r="S845" s="78"/>
      <c r="T845" s="78"/>
      <c r="U845" s="78"/>
      <c r="V845" s="78"/>
    </row>
    <row r="846" ht="15.75" customHeight="1">
      <c r="P846" s="78"/>
      <c r="Q846" s="78"/>
      <c r="R846" s="78"/>
      <c r="S846" s="78"/>
      <c r="T846" s="78"/>
      <c r="U846" s="78"/>
      <c r="V846" s="78"/>
    </row>
    <row r="847" ht="15.75" customHeight="1">
      <c r="P847" s="78"/>
      <c r="Q847" s="78"/>
      <c r="R847" s="78"/>
      <c r="S847" s="78"/>
      <c r="T847" s="78"/>
      <c r="U847" s="78"/>
      <c r="V847" s="78"/>
    </row>
    <row r="848" ht="15.75" customHeight="1">
      <c r="P848" s="78"/>
      <c r="Q848" s="78"/>
      <c r="R848" s="78"/>
      <c r="S848" s="78"/>
      <c r="T848" s="78"/>
      <c r="U848" s="78"/>
      <c r="V848" s="78"/>
    </row>
    <row r="849" ht="15.75" customHeight="1">
      <c r="P849" s="78"/>
      <c r="Q849" s="78"/>
      <c r="R849" s="78"/>
      <c r="S849" s="78"/>
      <c r="T849" s="78"/>
      <c r="U849" s="78"/>
      <c r="V849" s="78"/>
    </row>
    <row r="850" ht="15.75" customHeight="1">
      <c r="P850" s="78"/>
      <c r="Q850" s="78"/>
      <c r="R850" s="78"/>
      <c r="S850" s="78"/>
      <c r="T850" s="78"/>
      <c r="U850" s="78"/>
      <c r="V850" s="78"/>
    </row>
    <row r="851" ht="15.75" customHeight="1">
      <c r="P851" s="78"/>
      <c r="Q851" s="78"/>
      <c r="R851" s="78"/>
      <c r="S851" s="78"/>
      <c r="T851" s="78"/>
      <c r="U851" s="78"/>
      <c r="V851" s="78"/>
    </row>
    <row r="852" ht="15.75" customHeight="1">
      <c r="P852" s="78"/>
      <c r="Q852" s="78"/>
      <c r="R852" s="78"/>
      <c r="S852" s="78"/>
      <c r="T852" s="78"/>
      <c r="U852" s="78"/>
      <c r="V852" s="78"/>
    </row>
    <row r="853" ht="15.75" customHeight="1">
      <c r="P853" s="78"/>
      <c r="Q853" s="78"/>
      <c r="R853" s="78"/>
      <c r="S853" s="78"/>
      <c r="T853" s="78"/>
      <c r="U853" s="78"/>
      <c r="V853" s="78"/>
    </row>
    <row r="854" ht="15.75" customHeight="1">
      <c r="P854" s="78"/>
      <c r="Q854" s="78"/>
      <c r="R854" s="78"/>
      <c r="S854" s="78"/>
      <c r="T854" s="78"/>
      <c r="U854" s="78"/>
      <c r="V854" s="78"/>
    </row>
    <row r="855" ht="15.75" customHeight="1">
      <c r="P855" s="78"/>
      <c r="Q855" s="78"/>
      <c r="R855" s="78"/>
      <c r="S855" s="78"/>
      <c r="T855" s="78"/>
      <c r="U855" s="78"/>
      <c r="V855" s="78"/>
    </row>
    <row r="856" ht="15.75" customHeight="1">
      <c r="P856" s="78"/>
      <c r="Q856" s="78"/>
      <c r="R856" s="78"/>
      <c r="S856" s="78"/>
      <c r="T856" s="78"/>
      <c r="U856" s="78"/>
      <c r="V856" s="78"/>
    </row>
    <row r="857" ht="15.75" customHeight="1">
      <c r="P857" s="78"/>
      <c r="Q857" s="78"/>
      <c r="R857" s="78"/>
      <c r="S857" s="78"/>
      <c r="T857" s="78"/>
      <c r="U857" s="78"/>
      <c r="V857" s="78"/>
    </row>
    <row r="858" ht="15.75" customHeight="1">
      <c r="P858" s="78"/>
      <c r="Q858" s="78"/>
      <c r="R858" s="78"/>
      <c r="S858" s="78"/>
      <c r="T858" s="78"/>
      <c r="U858" s="78"/>
      <c r="V858" s="78"/>
    </row>
    <row r="859" ht="15.75" customHeight="1">
      <c r="P859" s="78"/>
      <c r="Q859" s="78"/>
      <c r="R859" s="78"/>
      <c r="S859" s="78"/>
      <c r="T859" s="78"/>
      <c r="U859" s="78"/>
      <c r="V859" s="78"/>
    </row>
    <row r="860" ht="15.75" customHeight="1">
      <c r="P860" s="78"/>
      <c r="Q860" s="78"/>
      <c r="R860" s="78"/>
      <c r="S860" s="78"/>
      <c r="T860" s="78"/>
      <c r="U860" s="78"/>
      <c r="V860" s="78"/>
    </row>
    <row r="861" ht="15.75" customHeight="1">
      <c r="P861" s="78"/>
      <c r="Q861" s="78"/>
      <c r="R861" s="78"/>
      <c r="S861" s="78"/>
      <c r="T861" s="78"/>
      <c r="U861" s="78"/>
      <c r="V861" s="78"/>
    </row>
    <row r="862" ht="15.75" customHeight="1">
      <c r="P862" s="78"/>
      <c r="Q862" s="78"/>
      <c r="R862" s="78"/>
      <c r="S862" s="78"/>
      <c r="T862" s="78"/>
      <c r="U862" s="78"/>
      <c r="V862" s="78"/>
    </row>
    <row r="863" ht="15.75" customHeight="1">
      <c r="P863" s="78"/>
      <c r="Q863" s="78"/>
      <c r="R863" s="78"/>
      <c r="S863" s="78"/>
      <c r="T863" s="78"/>
      <c r="U863" s="78"/>
      <c r="V863" s="78"/>
    </row>
    <row r="864" ht="15.75" customHeight="1">
      <c r="P864" s="78"/>
      <c r="Q864" s="78"/>
      <c r="R864" s="78"/>
      <c r="S864" s="78"/>
      <c r="T864" s="78"/>
      <c r="U864" s="78"/>
      <c r="V864" s="78"/>
    </row>
    <row r="865" ht="15.75" customHeight="1">
      <c r="P865" s="78"/>
      <c r="Q865" s="78"/>
      <c r="R865" s="78"/>
      <c r="S865" s="78"/>
      <c r="T865" s="78"/>
      <c r="U865" s="78"/>
      <c r="V865" s="78"/>
    </row>
    <row r="866" ht="15.75" customHeight="1">
      <c r="P866" s="78"/>
      <c r="Q866" s="78"/>
      <c r="R866" s="78"/>
      <c r="S866" s="78"/>
      <c r="T866" s="78"/>
      <c r="U866" s="78"/>
      <c r="V866" s="78"/>
    </row>
    <row r="867" ht="15.75" customHeight="1">
      <c r="P867" s="78"/>
      <c r="Q867" s="78"/>
      <c r="R867" s="78"/>
      <c r="S867" s="78"/>
      <c r="T867" s="78"/>
      <c r="U867" s="78"/>
      <c r="V867" s="78"/>
    </row>
    <row r="868" ht="15.75" customHeight="1">
      <c r="P868" s="78"/>
      <c r="Q868" s="78"/>
      <c r="R868" s="78"/>
      <c r="S868" s="78"/>
      <c r="T868" s="78"/>
      <c r="U868" s="78"/>
      <c r="V868" s="78"/>
    </row>
    <row r="869" ht="15.75" customHeight="1">
      <c r="P869" s="78"/>
      <c r="Q869" s="78"/>
      <c r="R869" s="78"/>
      <c r="S869" s="78"/>
      <c r="T869" s="78"/>
      <c r="U869" s="78"/>
      <c r="V869" s="78"/>
    </row>
    <row r="870" ht="15.75" customHeight="1">
      <c r="P870" s="78"/>
      <c r="Q870" s="78"/>
      <c r="R870" s="78"/>
      <c r="S870" s="78"/>
      <c r="T870" s="78"/>
      <c r="U870" s="78"/>
      <c r="V870" s="78"/>
    </row>
    <row r="871" ht="15.75" customHeight="1">
      <c r="P871" s="78"/>
      <c r="Q871" s="78"/>
      <c r="R871" s="78"/>
      <c r="S871" s="78"/>
      <c r="T871" s="78"/>
      <c r="U871" s="78"/>
      <c r="V871" s="78"/>
    </row>
    <row r="872" ht="15.75" customHeight="1">
      <c r="P872" s="78"/>
      <c r="Q872" s="78"/>
      <c r="R872" s="78"/>
      <c r="S872" s="78"/>
      <c r="T872" s="78"/>
      <c r="U872" s="78"/>
      <c r="V872" s="78"/>
    </row>
    <row r="873" ht="15.75" customHeight="1">
      <c r="P873" s="78"/>
      <c r="Q873" s="78"/>
      <c r="R873" s="78"/>
      <c r="S873" s="78"/>
      <c r="T873" s="78"/>
      <c r="U873" s="78"/>
      <c r="V873" s="78"/>
    </row>
    <row r="874" ht="15.75" customHeight="1">
      <c r="P874" s="78"/>
      <c r="Q874" s="78"/>
      <c r="R874" s="78"/>
      <c r="S874" s="78"/>
      <c r="T874" s="78"/>
      <c r="U874" s="78"/>
      <c r="V874" s="78"/>
    </row>
    <row r="875" ht="15.75" customHeight="1">
      <c r="P875" s="78"/>
      <c r="Q875" s="78"/>
      <c r="R875" s="78"/>
      <c r="S875" s="78"/>
      <c r="T875" s="78"/>
      <c r="U875" s="78"/>
      <c r="V875" s="78"/>
    </row>
    <row r="876" ht="15.75" customHeight="1">
      <c r="P876" s="78"/>
      <c r="Q876" s="78"/>
      <c r="R876" s="78"/>
      <c r="S876" s="78"/>
      <c r="T876" s="78"/>
      <c r="U876" s="78"/>
      <c r="V876" s="78"/>
    </row>
    <row r="877" ht="15.75" customHeight="1">
      <c r="P877" s="78"/>
      <c r="Q877" s="78"/>
      <c r="R877" s="78"/>
      <c r="S877" s="78"/>
      <c r="T877" s="78"/>
      <c r="U877" s="78"/>
      <c r="V877" s="78"/>
    </row>
    <row r="878" ht="15.75" customHeight="1">
      <c r="P878" s="78"/>
      <c r="Q878" s="78"/>
      <c r="R878" s="78"/>
      <c r="S878" s="78"/>
      <c r="T878" s="78"/>
      <c r="U878" s="78"/>
      <c r="V878" s="78"/>
    </row>
    <row r="879" ht="15.75" customHeight="1">
      <c r="P879" s="78"/>
      <c r="Q879" s="78"/>
      <c r="R879" s="78"/>
      <c r="S879" s="78"/>
      <c r="T879" s="78"/>
      <c r="U879" s="78"/>
      <c r="V879" s="78"/>
    </row>
    <row r="880" ht="15.75" customHeight="1">
      <c r="P880" s="78"/>
      <c r="Q880" s="78"/>
      <c r="R880" s="78"/>
      <c r="S880" s="78"/>
      <c r="T880" s="78"/>
      <c r="U880" s="78"/>
      <c r="V880" s="78"/>
    </row>
    <row r="881" ht="15.75" customHeight="1">
      <c r="P881" s="78"/>
      <c r="Q881" s="78"/>
      <c r="R881" s="78"/>
      <c r="S881" s="78"/>
      <c r="T881" s="78"/>
      <c r="U881" s="78"/>
      <c r="V881" s="78"/>
    </row>
    <row r="882" ht="15.75" customHeight="1">
      <c r="P882" s="78"/>
      <c r="Q882" s="78"/>
      <c r="R882" s="78"/>
      <c r="S882" s="78"/>
      <c r="T882" s="78"/>
      <c r="U882" s="78"/>
      <c r="V882" s="78"/>
    </row>
    <row r="883" ht="15.75" customHeight="1">
      <c r="P883" s="78"/>
      <c r="Q883" s="78"/>
      <c r="R883" s="78"/>
      <c r="S883" s="78"/>
      <c r="T883" s="78"/>
      <c r="U883" s="78"/>
      <c r="V883" s="78"/>
    </row>
    <row r="884" ht="15.75" customHeight="1">
      <c r="P884" s="78"/>
      <c r="Q884" s="78"/>
      <c r="R884" s="78"/>
      <c r="S884" s="78"/>
      <c r="T884" s="78"/>
      <c r="U884" s="78"/>
      <c r="V884" s="78"/>
    </row>
    <row r="885" ht="15.75" customHeight="1">
      <c r="P885" s="78"/>
      <c r="Q885" s="78"/>
      <c r="R885" s="78"/>
      <c r="S885" s="78"/>
      <c r="T885" s="78"/>
      <c r="U885" s="78"/>
      <c r="V885" s="78"/>
    </row>
    <row r="886" ht="15.75" customHeight="1">
      <c r="P886" s="78"/>
      <c r="Q886" s="78"/>
      <c r="R886" s="78"/>
      <c r="S886" s="78"/>
      <c r="T886" s="78"/>
      <c r="U886" s="78"/>
      <c r="V886" s="78"/>
    </row>
    <row r="887" ht="15.75" customHeight="1">
      <c r="P887" s="78"/>
      <c r="Q887" s="78"/>
      <c r="R887" s="78"/>
      <c r="S887" s="78"/>
      <c r="T887" s="78"/>
      <c r="U887" s="78"/>
      <c r="V887" s="78"/>
    </row>
    <row r="888" ht="15.75" customHeight="1">
      <c r="P888" s="78"/>
      <c r="Q888" s="78"/>
      <c r="R888" s="78"/>
      <c r="S888" s="78"/>
      <c r="T888" s="78"/>
      <c r="U888" s="78"/>
      <c r="V888" s="78"/>
    </row>
    <row r="889" ht="15.75" customHeight="1">
      <c r="P889" s="78"/>
      <c r="Q889" s="78"/>
      <c r="R889" s="78"/>
      <c r="S889" s="78"/>
      <c r="T889" s="78"/>
      <c r="U889" s="78"/>
      <c r="V889" s="78"/>
    </row>
    <row r="890" ht="15.75" customHeight="1">
      <c r="P890" s="78"/>
      <c r="Q890" s="78"/>
      <c r="R890" s="78"/>
      <c r="S890" s="78"/>
      <c r="T890" s="78"/>
      <c r="U890" s="78"/>
      <c r="V890" s="78"/>
    </row>
    <row r="891" ht="15.75" customHeight="1">
      <c r="P891" s="78"/>
      <c r="Q891" s="78"/>
      <c r="R891" s="78"/>
      <c r="S891" s="78"/>
      <c r="T891" s="78"/>
      <c r="U891" s="78"/>
      <c r="V891" s="78"/>
    </row>
    <row r="892" ht="15.75" customHeight="1">
      <c r="P892" s="78"/>
      <c r="Q892" s="78"/>
      <c r="R892" s="78"/>
      <c r="S892" s="78"/>
      <c r="T892" s="78"/>
      <c r="U892" s="78"/>
      <c r="V892" s="78"/>
    </row>
    <row r="893" ht="15.75" customHeight="1">
      <c r="P893" s="78"/>
      <c r="Q893" s="78"/>
      <c r="R893" s="78"/>
      <c r="S893" s="78"/>
      <c r="T893" s="78"/>
      <c r="U893" s="78"/>
      <c r="V893" s="78"/>
    </row>
    <row r="894" ht="15.75" customHeight="1">
      <c r="P894" s="78"/>
      <c r="Q894" s="78"/>
      <c r="R894" s="78"/>
      <c r="S894" s="78"/>
      <c r="T894" s="78"/>
      <c r="U894" s="78"/>
      <c r="V894" s="78"/>
    </row>
    <row r="895" ht="15.75" customHeight="1">
      <c r="P895" s="78"/>
      <c r="Q895" s="78"/>
      <c r="R895" s="78"/>
      <c r="S895" s="78"/>
      <c r="T895" s="78"/>
      <c r="U895" s="78"/>
      <c r="V895" s="78"/>
    </row>
    <row r="896" ht="15.75" customHeight="1">
      <c r="P896" s="78"/>
      <c r="Q896" s="78"/>
      <c r="R896" s="78"/>
      <c r="S896" s="78"/>
      <c r="T896" s="78"/>
      <c r="U896" s="78"/>
      <c r="V896" s="78"/>
    </row>
    <row r="897" ht="15.75" customHeight="1">
      <c r="P897" s="78"/>
      <c r="Q897" s="78"/>
      <c r="R897" s="78"/>
      <c r="S897" s="78"/>
      <c r="T897" s="78"/>
      <c r="U897" s="78"/>
      <c r="V897" s="78"/>
    </row>
    <row r="898" ht="15.75" customHeight="1">
      <c r="P898" s="78"/>
      <c r="Q898" s="78"/>
      <c r="R898" s="78"/>
      <c r="S898" s="78"/>
      <c r="T898" s="78"/>
      <c r="U898" s="78"/>
      <c r="V898" s="78"/>
    </row>
    <row r="899" ht="15.75" customHeight="1">
      <c r="P899" s="78"/>
      <c r="Q899" s="78"/>
      <c r="R899" s="78"/>
      <c r="S899" s="78"/>
      <c r="T899" s="78"/>
      <c r="U899" s="78"/>
      <c r="V899" s="78"/>
    </row>
    <row r="900" ht="15.75" customHeight="1">
      <c r="P900" s="78"/>
      <c r="Q900" s="78"/>
      <c r="R900" s="78"/>
      <c r="S900" s="78"/>
      <c r="T900" s="78"/>
      <c r="U900" s="78"/>
      <c r="V900" s="78"/>
    </row>
    <row r="901" ht="15.75" customHeight="1">
      <c r="P901" s="78"/>
      <c r="Q901" s="78"/>
      <c r="R901" s="78"/>
      <c r="S901" s="78"/>
      <c r="T901" s="78"/>
      <c r="U901" s="78"/>
      <c r="V901" s="78"/>
    </row>
    <row r="902" ht="15.75" customHeight="1">
      <c r="P902" s="78"/>
      <c r="Q902" s="78"/>
      <c r="R902" s="78"/>
      <c r="S902" s="78"/>
      <c r="T902" s="78"/>
      <c r="U902" s="78"/>
      <c r="V902" s="78"/>
    </row>
    <row r="903" ht="15.75" customHeight="1">
      <c r="P903" s="78"/>
      <c r="Q903" s="78"/>
      <c r="R903" s="78"/>
      <c r="S903" s="78"/>
      <c r="T903" s="78"/>
      <c r="U903" s="78"/>
      <c r="V903" s="78"/>
    </row>
    <row r="904" ht="15.75" customHeight="1">
      <c r="P904" s="78"/>
      <c r="Q904" s="78"/>
      <c r="R904" s="78"/>
      <c r="S904" s="78"/>
      <c r="T904" s="78"/>
      <c r="U904" s="78"/>
      <c r="V904" s="78"/>
    </row>
    <row r="905" ht="15.75" customHeight="1">
      <c r="P905" s="78"/>
      <c r="Q905" s="78"/>
      <c r="R905" s="78"/>
      <c r="S905" s="78"/>
      <c r="T905" s="78"/>
      <c r="U905" s="78"/>
      <c r="V905" s="78"/>
    </row>
    <row r="906" ht="15.75" customHeight="1">
      <c r="P906" s="78"/>
      <c r="Q906" s="78"/>
      <c r="R906" s="78"/>
      <c r="S906" s="78"/>
      <c r="T906" s="78"/>
      <c r="U906" s="78"/>
      <c r="V906" s="78"/>
    </row>
    <row r="907" ht="15.75" customHeight="1">
      <c r="P907" s="78"/>
      <c r="Q907" s="78"/>
      <c r="R907" s="78"/>
      <c r="S907" s="78"/>
      <c r="T907" s="78"/>
      <c r="U907" s="78"/>
      <c r="V907" s="78"/>
    </row>
    <row r="908" ht="15.75" customHeight="1">
      <c r="P908" s="78"/>
      <c r="Q908" s="78"/>
      <c r="R908" s="78"/>
      <c r="S908" s="78"/>
      <c r="T908" s="78"/>
      <c r="U908" s="78"/>
      <c r="V908" s="78"/>
    </row>
    <row r="909" ht="15.75" customHeight="1">
      <c r="P909" s="78"/>
      <c r="Q909" s="78"/>
      <c r="R909" s="78"/>
      <c r="S909" s="78"/>
      <c r="T909" s="78"/>
      <c r="U909" s="78"/>
      <c r="V909" s="78"/>
    </row>
    <row r="910" ht="15.75" customHeight="1">
      <c r="P910" s="78"/>
      <c r="Q910" s="78"/>
      <c r="R910" s="78"/>
      <c r="S910" s="78"/>
      <c r="T910" s="78"/>
      <c r="U910" s="78"/>
      <c r="V910" s="78"/>
    </row>
    <row r="911" ht="15.75" customHeight="1">
      <c r="P911" s="78"/>
      <c r="Q911" s="78"/>
      <c r="R911" s="78"/>
      <c r="S911" s="78"/>
      <c r="T911" s="78"/>
      <c r="U911" s="78"/>
      <c r="V911" s="78"/>
    </row>
    <row r="912" ht="15.75" customHeight="1">
      <c r="P912" s="78"/>
      <c r="Q912" s="78"/>
      <c r="R912" s="78"/>
      <c r="S912" s="78"/>
      <c r="T912" s="78"/>
      <c r="U912" s="78"/>
      <c r="V912" s="78"/>
    </row>
    <row r="913" ht="15.75" customHeight="1">
      <c r="P913" s="78"/>
      <c r="Q913" s="78"/>
      <c r="R913" s="78"/>
      <c r="S913" s="78"/>
      <c r="T913" s="78"/>
      <c r="U913" s="78"/>
      <c r="V913" s="78"/>
    </row>
    <row r="914" ht="15.75" customHeight="1">
      <c r="P914" s="78"/>
      <c r="Q914" s="78"/>
      <c r="R914" s="78"/>
      <c r="S914" s="78"/>
      <c r="T914" s="78"/>
      <c r="U914" s="78"/>
      <c r="V914" s="78"/>
    </row>
    <row r="915" ht="15.75" customHeight="1">
      <c r="P915" s="78"/>
      <c r="Q915" s="78"/>
      <c r="R915" s="78"/>
      <c r="S915" s="78"/>
      <c r="T915" s="78"/>
      <c r="U915" s="78"/>
      <c r="V915" s="78"/>
    </row>
    <row r="916" ht="15.75" customHeight="1">
      <c r="P916" s="78"/>
      <c r="Q916" s="78"/>
      <c r="R916" s="78"/>
      <c r="S916" s="78"/>
      <c r="T916" s="78"/>
      <c r="U916" s="78"/>
      <c r="V916" s="78"/>
    </row>
    <row r="917" ht="15.75" customHeight="1">
      <c r="P917" s="78"/>
      <c r="Q917" s="78"/>
      <c r="R917" s="78"/>
      <c r="S917" s="78"/>
      <c r="T917" s="78"/>
      <c r="U917" s="78"/>
      <c r="V917" s="78"/>
    </row>
    <row r="918" ht="15.75" customHeight="1">
      <c r="P918" s="78"/>
      <c r="Q918" s="78"/>
      <c r="R918" s="78"/>
      <c r="S918" s="78"/>
      <c r="T918" s="78"/>
      <c r="U918" s="78"/>
      <c r="V918" s="78"/>
    </row>
    <row r="919" ht="15.75" customHeight="1">
      <c r="P919" s="78"/>
      <c r="Q919" s="78"/>
      <c r="R919" s="78"/>
      <c r="S919" s="78"/>
      <c r="T919" s="78"/>
      <c r="U919" s="78"/>
      <c r="V919" s="78"/>
    </row>
    <row r="920" ht="15.75" customHeight="1">
      <c r="P920" s="78"/>
      <c r="Q920" s="78"/>
      <c r="R920" s="78"/>
      <c r="S920" s="78"/>
      <c r="T920" s="78"/>
      <c r="U920" s="78"/>
      <c r="V920" s="78"/>
    </row>
    <row r="921" ht="15.75" customHeight="1">
      <c r="P921" s="78"/>
      <c r="Q921" s="78"/>
      <c r="R921" s="78"/>
      <c r="S921" s="78"/>
      <c r="T921" s="78"/>
      <c r="U921" s="78"/>
      <c r="V921" s="78"/>
    </row>
    <row r="922" ht="15.75" customHeight="1">
      <c r="P922" s="78"/>
      <c r="Q922" s="78"/>
      <c r="R922" s="78"/>
      <c r="S922" s="78"/>
      <c r="T922" s="78"/>
      <c r="U922" s="78"/>
      <c r="V922" s="78"/>
    </row>
    <row r="923" ht="15.75" customHeight="1">
      <c r="P923" s="78"/>
      <c r="Q923" s="78"/>
      <c r="R923" s="78"/>
      <c r="S923" s="78"/>
      <c r="T923" s="78"/>
      <c r="U923" s="78"/>
      <c r="V923" s="78"/>
    </row>
    <row r="924" ht="15.75" customHeight="1">
      <c r="P924" s="78"/>
      <c r="Q924" s="78"/>
      <c r="R924" s="78"/>
      <c r="S924" s="78"/>
      <c r="T924" s="78"/>
      <c r="U924" s="78"/>
      <c r="V924" s="78"/>
    </row>
    <row r="925" ht="15.75" customHeight="1">
      <c r="P925" s="78"/>
      <c r="Q925" s="78"/>
      <c r="R925" s="78"/>
      <c r="S925" s="78"/>
      <c r="T925" s="78"/>
      <c r="U925" s="78"/>
      <c r="V925" s="78"/>
    </row>
    <row r="926" ht="15.75" customHeight="1">
      <c r="P926" s="78"/>
      <c r="Q926" s="78"/>
      <c r="R926" s="78"/>
      <c r="S926" s="78"/>
      <c r="T926" s="78"/>
      <c r="U926" s="78"/>
      <c r="V926" s="78"/>
    </row>
    <row r="927" ht="15.75" customHeight="1">
      <c r="P927" s="78"/>
      <c r="Q927" s="78"/>
      <c r="R927" s="78"/>
      <c r="S927" s="78"/>
      <c r="T927" s="78"/>
      <c r="U927" s="78"/>
      <c r="V927" s="78"/>
    </row>
    <row r="928" ht="15.75" customHeight="1">
      <c r="P928" s="78"/>
      <c r="Q928" s="78"/>
      <c r="R928" s="78"/>
      <c r="S928" s="78"/>
      <c r="T928" s="78"/>
      <c r="U928" s="78"/>
      <c r="V928" s="78"/>
    </row>
    <row r="929" ht="15.75" customHeight="1">
      <c r="P929" s="78"/>
      <c r="Q929" s="78"/>
      <c r="R929" s="78"/>
      <c r="S929" s="78"/>
      <c r="T929" s="78"/>
      <c r="U929" s="78"/>
      <c r="V929" s="78"/>
    </row>
    <row r="930" ht="15.75" customHeight="1">
      <c r="P930" s="78"/>
      <c r="Q930" s="78"/>
      <c r="R930" s="78"/>
      <c r="S930" s="78"/>
      <c r="T930" s="78"/>
      <c r="U930" s="78"/>
      <c r="V930" s="78"/>
    </row>
    <row r="931" ht="15.75" customHeight="1">
      <c r="P931" s="78"/>
      <c r="Q931" s="78"/>
      <c r="R931" s="78"/>
      <c r="S931" s="78"/>
      <c r="T931" s="78"/>
      <c r="U931" s="78"/>
      <c r="V931" s="78"/>
    </row>
    <row r="932" ht="15.75" customHeight="1">
      <c r="P932" s="78"/>
      <c r="Q932" s="78"/>
      <c r="R932" s="78"/>
      <c r="S932" s="78"/>
      <c r="T932" s="78"/>
      <c r="U932" s="78"/>
      <c r="V932" s="78"/>
    </row>
    <row r="933" ht="15.75" customHeight="1">
      <c r="P933" s="78"/>
      <c r="Q933" s="78"/>
      <c r="R933" s="78"/>
      <c r="S933" s="78"/>
      <c r="T933" s="78"/>
      <c r="U933" s="78"/>
      <c r="V933" s="78"/>
    </row>
    <row r="934" ht="15.75" customHeight="1">
      <c r="P934" s="78"/>
      <c r="Q934" s="78"/>
      <c r="R934" s="78"/>
      <c r="S934" s="78"/>
      <c r="T934" s="78"/>
      <c r="U934" s="78"/>
      <c r="V934" s="78"/>
    </row>
    <row r="935" ht="15.75" customHeight="1">
      <c r="P935" s="78"/>
      <c r="Q935" s="78"/>
      <c r="R935" s="78"/>
      <c r="S935" s="78"/>
      <c r="T935" s="78"/>
      <c r="U935" s="78"/>
      <c r="V935" s="78"/>
    </row>
    <row r="936" ht="15.75" customHeight="1">
      <c r="P936" s="78"/>
      <c r="Q936" s="78"/>
      <c r="R936" s="78"/>
      <c r="S936" s="78"/>
      <c r="T936" s="78"/>
      <c r="U936" s="78"/>
      <c r="V936" s="78"/>
    </row>
    <row r="937" ht="15.75" customHeight="1">
      <c r="P937" s="78"/>
      <c r="Q937" s="78"/>
      <c r="R937" s="78"/>
      <c r="S937" s="78"/>
      <c r="T937" s="78"/>
      <c r="U937" s="78"/>
      <c r="V937" s="78"/>
    </row>
    <row r="938" ht="15.75" customHeight="1">
      <c r="P938" s="78"/>
      <c r="Q938" s="78"/>
      <c r="R938" s="78"/>
      <c r="S938" s="78"/>
      <c r="T938" s="78"/>
      <c r="U938" s="78"/>
      <c r="V938" s="78"/>
    </row>
    <row r="939" ht="15.75" customHeight="1">
      <c r="P939" s="78"/>
      <c r="Q939" s="78"/>
      <c r="R939" s="78"/>
      <c r="S939" s="78"/>
      <c r="T939" s="78"/>
      <c r="U939" s="78"/>
      <c r="V939" s="78"/>
    </row>
    <row r="940" ht="15.75" customHeight="1">
      <c r="P940" s="78"/>
      <c r="Q940" s="78"/>
      <c r="R940" s="78"/>
      <c r="S940" s="78"/>
      <c r="T940" s="78"/>
      <c r="U940" s="78"/>
      <c r="V940" s="78"/>
    </row>
    <row r="941" ht="15.75" customHeight="1">
      <c r="P941" s="78"/>
      <c r="Q941" s="78"/>
      <c r="R941" s="78"/>
      <c r="S941" s="78"/>
      <c r="T941" s="78"/>
      <c r="U941" s="78"/>
      <c r="V941" s="78"/>
    </row>
    <row r="942" ht="15.75" customHeight="1">
      <c r="P942" s="78"/>
      <c r="Q942" s="78"/>
      <c r="R942" s="78"/>
      <c r="S942" s="78"/>
      <c r="T942" s="78"/>
      <c r="U942" s="78"/>
      <c r="V942" s="78"/>
    </row>
    <row r="943" ht="15.75" customHeight="1">
      <c r="P943" s="78"/>
      <c r="Q943" s="78"/>
      <c r="R943" s="78"/>
      <c r="S943" s="78"/>
      <c r="T943" s="78"/>
      <c r="U943" s="78"/>
      <c r="V943" s="78"/>
    </row>
    <row r="944" ht="15.75" customHeight="1">
      <c r="P944" s="78"/>
      <c r="Q944" s="78"/>
      <c r="R944" s="78"/>
      <c r="S944" s="78"/>
      <c r="T944" s="78"/>
      <c r="U944" s="78"/>
      <c r="V944" s="78"/>
    </row>
    <row r="945" ht="15.75" customHeight="1">
      <c r="P945" s="78"/>
      <c r="Q945" s="78"/>
      <c r="R945" s="78"/>
      <c r="S945" s="78"/>
      <c r="T945" s="78"/>
      <c r="U945" s="78"/>
      <c r="V945" s="78"/>
    </row>
    <row r="946" ht="15.75" customHeight="1">
      <c r="P946" s="78"/>
      <c r="Q946" s="78"/>
      <c r="R946" s="78"/>
      <c r="S946" s="78"/>
      <c r="T946" s="78"/>
      <c r="U946" s="78"/>
      <c r="V946" s="78"/>
    </row>
    <row r="947" ht="15.75" customHeight="1">
      <c r="P947" s="78"/>
      <c r="Q947" s="78"/>
      <c r="R947" s="78"/>
      <c r="S947" s="78"/>
      <c r="T947" s="78"/>
      <c r="U947" s="78"/>
      <c r="V947" s="78"/>
    </row>
    <row r="948" ht="15.75" customHeight="1">
      <c r="P948" s="78"/>
      <c r="Q948" s="78"/>
      <c r="R948" s="78"/>
      <c r="S948" s="78"/>
      <c r="T948" s="78"/>
      <c r="U948" s="78"/>
      <c r="V948" s="78"/>
    </row>
    <row r="949" ht="15.75" customHeight="1">
      <c r="P949" s="78"/>
      <c r="Q949" s="78"/>
      <c r="R949" s="78"/>
      <c r="S949" s="78"/>
      <c r="T949" s="78"/>
      <c r="U949" s="78"/>
      <c r="V949" s="78"/>
    </row>
    <row r="950" ht="15.75" customHeight="1">
      <c r="P950" s="78"/>
      <c r="Q950" s="78"/>
      <c r="R950" s="78"/>
      <c r="S950" s="78"/>
      <c r="T950" s="78"/>
      <c r="U950" s="78"/>
      <c r="V950" s="78"/>
    </row>
    <row r="951" ht="15.75" customHeight="1">
      <c r="P951" s="78"/>
      <c r="Q951" s="78"/>
      <c r="R951" s="78"/>
      <c r="S951" s="78"/>
      <c r="T951" s="78"/>
      <c r="U951" s="78"/>
      <c r="V951" s="78"/>
    </row>
    <row r="952" ht="15.75" customHeight="1">
      <c r="P952" s="78"/>
      <c r="Q952" s="78"/>
      <c r="R952" s="78"/>
      <c r="S952" s="78"/>
      <c r="T952" s="78"/>
      <c r="U952" s="78"/>
      <c r="V952" s="78"/>
    </row>
    <row r="953" ht="15.75" customHeight="1">
      <c r="P953" s="78"/>
      <c r="Q953" s="78"/>
      <c r="R953" s="78"/>
      <c r="S953" s="78"/>
      <c r="T953" s="78"/>
      <c r="U953" s="78"/>
      <c r="V953" s="78"/>
    </row>
    <row r="954" ht="15.75" customHeight="1">
      <c r="P954" s="78"/>
      <c r="Q954" s="78"/>
      <c r="R954" s="78"/>
      <c r="S954" s="78"/>
      <c r="T954" s="78"/>
      <c r="U954" s="78"/>
      <c r="V954" s="78"/>
    </row>
    <row r="955" ht="15.75" customHeight="1">
      <c r="P955" s="78"/>
      <c r="Q955" s="78"/>
      <c r="R955" s="78"/>
      <c r="S955" s="78"/>
      <c r="T955" s="78"/>
      <c r="U955" s="78"/>
      <c r="V955" s="78"/>
    </row>
    <row r="956" ht="15.75" customHeight="1">
      <c r="P956" s="78"/>
      <c r="Q956" s="78"/>
      <c r="R956" s="78"/>
      <c r="S956" s="78"/>
      <c r="T956" s="78"/>
      <c r="U956" s="78"/>
      <c r="V956" s="78"/>
    </row>
    <row r="957" ht="15.75" customHeight="1">
      <c r="P957" s="78"/>
      <c r="Q957" s="78"/>
      <c r="R957" s="78"/>
      <c r="S957" s="78"/>
      <c r="T957" s="78"/>
      <c r="U957" s="78"/>
      <c r="V957" s="78"/>
    </row>
    <row r="958" ht="15.75" customHeight="1">
      <c r="P958" s="78"/>
      <c r="Q958" s="78"/>
      <c r="R958" s="78"/>
      <c r="S958" s="78"/>
      <c r="T958" s="78"/>
      <c r="U958" s="78"/>
      <c r="V958" s="78"/>
    </row>
    <row r="959" ht="15.75" customHeight="1">
      <c r="P959" s="78"/>
      <c r="Q959" s="78"/>
      <c r="R959" s="78"/>
      <c r="S959" s="78"/>
      <c r="T959" s="78"/>
      <c r="U959" s="78"/>
      <c r="V959" s="78"/>
    </row>
    <row r="960" ht="15.75" customHeight="1">
      <c r="P960" s="78"/>
      <c r="Q960" s="78"/>
      <c r="R960" s="78"/>
      <c r="S960" s="78"/>
      <c r="T960" s="78"/>
      <c r="U960" s="78"/>
      <c r="V960" s="78"/>
    </row>
    <row r="961" ht="15.75" customHeight="1">
      <c r="P961" s="78"/>
      <c r="Q961" s="78"/>
      <c r="R961" s="78"/>
      <c r="S961" s="78"/>
      <c r="T961" s="78"/>
      <c r="U961" s="78"/>
      <c r="V961" s="78"/>
    </row>
    <row r="962" ht="15.75" customHeight="1">
      <c r="P962" s="78"/>
      <c r="Q962" s="78"/>
      <c r="R962" s="78"/>
      <c r="S962" s="78"/>
      <c r="T962" s="78"/>
      <c r="U962" s="78"/>
      <c r="V962" s="78"/>
    </row>
    <row r="963" ht="15.75" customHeight="1">
      <c r="P963" s="78"/>
      <c r="Q963" s="78"/>
      <c r="R963" s="78"/>
      <c r="S963" s="78"/>
      <c r="T963" s="78"/>
      <c r="U963" s="78"/>
      <c r="V963" s="78"/>
    </row>
    <row r="964" ht="15.75" customHeight="1">
      <c r="P964" s="78"/>
      <c r="Q964" s="78"/>
      <c r="R964" s="78"/>
      <c r="S964" s="78"/>
      <c r="T964" s="78"/>
      <c r="U964" s="78"/>
      <c r="V964" s="78"/>
    </row>
    <row r="965" ht="15.75" customHeight="1">
      <c r="P965" s="78"/>
      <c r="Q965" s="78"/>
      <c r="R965" s="78"/>
      <c r="S965" s="78"/>
      <c r="T965" s="78"/>
      <c r="U965" s="78"/>
      <c r="V965" s="78"/>
    </row>
    <row r="966" ht="15.75" customHeight="1">
      <c r="P966" s="78"/>
      <c r="Q966" s="78"/>
      <c r="R966" s="78"/>
      <c r="S966" s="78"/>
      <c r="T966" s="78"/>
      <c r="U966" s="78"/>
      <c r="V966" s="78"/>
    </row>
    <row r="967" ht="15.75" customHeight="1">
      <c r="P967" s="78"/>
      <c r="Q967" s="78"/>
      <c r="R967" s="78"/>
      <c r="S967" s="78"/>
      <c r="T967" s="78"/>
      <c r="U967" s="78"/>
      <c r="V967" s="78"/>
    </row>
    <row r="968" ht="15.75" customHeight="1">
      <c r="P968" s="78"/>
      <c r="Q968" s="78"/>
      <c r="R968" s="78"/>
      <c r="S968" s="78"/>
      <c r="T968" s="78"/>
      <c r="U968" s="78"/>
      <c r="V968" s="78"/>
    </row>
    <row r="969" ht="15.75" customHeight="1">
      <c r="P969" s="78"/>
      <c r="Q969" s="78"/>
      <c r="R969" s="78"/>
      <c r="S969" s="78"/>
      <c r="T969" s="78"/>
      <c r="U969" s="78"/>
      <c r="V969" s="78"/>
    </row>
    <row r="970" ht="15.75" customHeight="1">
      <c r="P970" s="78"/>
      <c r="Q970" s="78"/>
      <c r="R970" s="78"/>
      <c r="S970" s="78"/>
      <c r="T970" s="78"/>
      <c r="U970" s="78"/>
      <c r="V970" s="78"/>
    </row>
    <row r="971" ht="15.75" customHeight="1">
      <c r="P971" s="78"/>
      <c r="Q971" s="78"/>
      <c r="R971" s="78"/>
      <c r="S971" s="78"/>
      <c r="T971" s="78"/>
      <c r="U971" s="78"/>
      <c r="V971" s="78"/>
    </row>
    <row r="972" ht="15.75" customHeight="1">
      <c r="P972" s="78"/>
      <c r="Q972" s="78"/>
      <c r="R972" s="78"/>
      <c r="S972" s="78"/>
      <c r="T972" s="78"/>
      <c r="U972" s="78"/>
      <c r="V972" s="78"/>
    </row>
    <row r="973" ht="15.75" customHeight="1">
      <c r="P973" s="78"/>
      <c r="Q973" s="78"/>
      <c r="R973" s="78"/>
      <c r="S973" s="78"/>
      <c r="T973" s="78"/>
      <c r="U973" s="78"/>
      <c r="V973" s="78"/>
    </row>
    <row r="974" ht="15.75" customHeight="1">
      <c r="P974" s="78"/>
      <c r="Q974" s="78"/>
      <c r="R974" s="78"/>
      <c r="S974" s="78"/>
      <c r="T974" s="78"/>
      <c r="U974" s="78"/>
      <c r="V974" s="78"/>
    </row>
    <row r="975" ht="15.75" customHeight="1">
      <c r="P975" s="78"/>
      <c r="Q975" s="78"/>
      <c r="R975" s="78"/>
      <c r="S975" s="78"/>
      <c r="T975" s="78"/>
      <c r="U975" s="78"/>
      <c r="V975" s="78"/>
    </row>
    <row r="976" ht="15.75" customHeight="1">
      <c r="P976" s="78"/>
      <c r="Q976" s="78"/>
      <c r="R976" s="78"/>
      <c r="S976" s="78"/>
      <c r="T976" s="78"/>
      <c r="U976" s="78"/>
      <c r="V976" s="78"/>
    </row>
    <row r="977" ht="15.75" customHeight="1">
      <c r="P977" s="78"/>
      <c r="Q977" s="78"/>
      <c r="R977" s="78"/>
      <c r="S977" s="78"/>
      <c r="T977" s="78"/>
      <c r="U977" s="78"/>
      <c r="V977" s="78"/>
    </row>
    <row r="978" ht="15.75" customHeight="1">
      <c r="P978" s="78"/>
      <c r="Q978" s="78"/>
      <c r="R978" s="78"/>
      <c r="S978" s="78"/>
      <c r="T978" s="78"/>
      <c r="U978" s="78"/>
      <c r="V978" s="78"/>
    </row>
    <row r="979" ht="15.75" customHeight="1">
      <c r="P979" s="78"/>
      <c r="Q979" s="78"/>
      <c r="R979" s="78"/>
      <c r="S979" s="78"/>
      <c r="T979" s="78"/>
      <c r="U979" s="78"/>
      <c r="V979" s="78"/>
    </row>
    <row r="980" ht="15.75" customHeight="1">
      <c r="P980" s="78"/>
      <c r="Q980" s="78"/>
      <c r="R980" s="78"/>
      <c r="S980" s="78"/>
      <c r="T980" s="78"/>
      <c r="U980" s="78"/>
      <c r="V980" s="78"/>
    </row>
    <row r="981" ht="15.75" customHeight="1">
      <c r="P981" s="78"/>
      <c r="Q981" s="78"/>
      <c r="R981" s="78"/>
      <c r="S981" s="78"/>
      <c r="T981" s="78"/>
      <c r="U981" s="78"/>
      <c r="V981" s="78"/>
    </row>
    <row r="982" ht="15.75" customHeight="1">
      <c r="P982" s="78"/>
      <c r="Q982" s="78"/>
      <c r="R982" s="78"/>
      <c r="S982" s="78"/>
      <c r="T982" s="78"/>
      <c r="U982" s="78"/>
      <c r="V982" s="78"/>
    </row>
    <row r="983" ht="15.75" customHeight="1">
      <c r="P983" s="78"/>
      <c r="Q983" s="78"/>
      <c r="R983" s="78"/>
      <c r="S983" s="78"/>
      <c r="T983" s="78"/>
      <c r="U983" s="78"/>
      <c r="V983" s="78"/>
    </row>
    <row r="984" ht="15.75" customHeight="1">
      <c r="P984" s="78"/>
      <c r="Q984" s="78"/>
      <c r="R984" s="78"/>
      <c r="S984" s="78"/>
      <c r="T984" s="78"/>
      <c r="U984" s="78"/>
      <c r="V984" s="78"/>
    </row>
    <row r="985" ht="15.75" customHeight="1">
      <c r="P985" s="78"/>
      <c r="Q985" s="78"/>
      <c r="R985" s="78"/>
      <c r="S985" s="78"/>
      <c r="T985" s="78"/>
      <c r="U985" s="78"/>
      <c r="V985" s="78"/>
    </row>
    <row r="986" ht="15.75" customHeight="1">
      <c r="P986" s="78"/>
      <c r="Q986" s="78"/>
      <c r="R986" s="78"/>
      <c r="S986" s="78"/>
      <c r="T986" s="78"/>
      <c r="U986" s="78"/>
      <c r="V986" s="78"/>
    </row>
    <row r="987" ht="15.75" customHeight="1">
      <c r="P987" s="78"/>
      <c r="Q987" s="78"/>
      <c r="R987" s="78"/>
      <c r="S987" s="78"/>
      <c r="T987" s="78"/>
      <c r="U987" s="78"/>
      <c r="V987" s="78"/>
    </row>
    <row r="988" ht="15.75" customHeight="1">
      <c r="P988" s="78"/>
      <c r="Q988" s="78"/>
      <c r="R988" s="78"/>
      <c r="S988" s="78"/>
      <c r="T988" s="78"/>
      <c r="U988" s="78"/>
      <c r="V988" s="78"/>
    </row>
    <row r="989" ht="15.75" customHeight="1">
      <c r="P989" s="78"/>
      <c r="Q989" s="78"/>
      <c r="R989" s="78"/>
      <c r="S989" s="78"/>
      <c r="T989" s="78"/>
      <c r="U989" s="78"/>
      <c r="V989" s="78"/>
    </row>
    <row r="990" ht="15.75" customHeight="1">
      <c r="P990" s="78"/>
      <c r="Q990" s="78"/>
      <c r="R990" s="78"/>
      <c r="S990" s="78"/>
      <c r="T990" s="78"/>
      <c r="U990" s="78"/>
      <c r="V990" s="78"/>
    </row>
    <row r="991" ht="15.75" customHeight="1">
      <c r="P991" s="78"/>
      <c r="Q991" s="78"/>
      <c r="R991" s="78"/>
      <c r="S991" s="78"/>
      <c r="T991" s="78"/>
      <c r="U991" s="78"/>
      <c r="V991" s="78"/>
    </row>
    <row r="992" ht="15.75" customHeight="1">
      <c r="P992" s="78"/>
      <c r="Q992" s="78"/>
      <c r="R992" s="78"/>
      <c r="S992" s="78"/>
      <c r="T992" s="78"/>
      <c r="U992" s="78"/>
      <c r="V992" s="78"/>
    </row>
    <row r="993" ht="15.75" customHeight="1">
      <c r="P993" s="78"/>
      <c r="Q993" s="78"/>
      <c r="R993" s="78"/>
      <c r="S993" s="78"/>
      <c r="T993" s="78"/>
      <c r="U993" s="78"/>
      <c r="V993" s="78"/>
    </row>
    <row r="994" ht="15.75" customHeight="1">
      <c r="P994" s="78"/>
      <c r="Q994" s="78"/>
      <c r="R994" s="78"/>
      <c r="S994" s="78"/>
      <c r="T994" s="78"/>
      <c r="U994" s="78"/>
      <c r="V994" s="78"/>
    </row>
    <row r="995" ht="15.75" customHeight="1">
      <c r="P995" s="78"/>
      <c r="Q995" s="78"/>
      <c r="R995" s="78"/>
      <c r="S995" s="78"/>
      <c r="T995" s="78"/>
      <c r="U995" s="78"/>
      <c r="V995" s="78"/>
    </row>
    <row r="996" ht="15.75" customHeight="1">
      <c r="P996" s="78"/>
      <c r="Q996" s="78"/>
      <c r="R996" s="78"/>
      <c r="S996" s="78"/>
      <c r="T996" s="78"/>
      <c r="U996" s="78"/>
      <c r="V996" s="78"/>
    </row>
    <row r="997" ht="15.75" customHeight="1">
      <c r="P997" s="78"/>
      <c r="Q997" s="78"/>
      <c r="R997" s="78"/>
      <c r="S997" s="78"/>
      <c r="T997" s="78"/>
      <c r="U997" s="78"/>
      <c r="V997" s="78"/>
    </row>
    <row r="998" ht="15.75" customHeight="1">
      <c r="P998" s="78"/>
      <c r="Q998" s="78"/>
      <c r="R998" s="78"/>
      <c r="S998" s="78"/>
      <c r="T998" s="78"/>
      <c r="U998" s="78"/>
      <c r="V998" s="78"/>
    </row>
    <row r="999" ht="15.75" customHeight="1">
      <c r="P999" s="78"/>
      <c r="Q999" s="78"/>
      <c r="R999" s="78"/>
      <c r="S999" s="78"/>
      <c r="T999" s="78"/>
      <c r="U999" s="78"/>
      <c r="V999" s="78"/>
    </row>
    <row r="1000" ht="15.75" customHeight="1">
      <c r="P1000" s="78"/>
      <c r="Q1000" s="78"/>
      <c r="R1000" s="78"/>
      <c r="S1000" s="78"/>
      <c r="T1000" s="78"/>
      <c r="U1000" s="78"/>
      <c r="V1000" s="78"/>
    </row>
  </sheetData>
  <mergeCells count="8">
    <mergeCell ref="B1:N2"/>
    <mergeCell ref="P1:V1"/>
    <mergeCell ref="H3:H40"/>
    <mergeCell ref="B8:C8"/>
    <mergeCell ref="I8:J8"/>
    <mergeCell ref="B13:C13"/>
    <mergeCell ref="I20:J20"/>
    <mergeCell ref="B36:C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1.13"/>
    <col customWidth="1" min="3" max="3" width="10.25"/>
    <col customWidth="1" min="4" max="4" width="11.0"/>
    <col customWidth="1" min="5" max="5" width="11.88"/>
    <col customWidth="1" min="6" max="6" width="11.13"/>
    <col customWidth="1" min="7" max="7" width="11.0"/>
    <col customWidth="1" min="8" max="8" width="4.75"/>
    <col customWidth="1" min="9" max="9" width="17.25"/>
    <col customWidth="1" min="10" max="10" width="13.13"/>
    <col customWidth="1" min="11" max="11" width="12.13"/>
    <col customWidth="1" min="12" max="12" width="12.38"/>
    <col customWidth="1" min="13" max="13" width="13.0"/>
    <col customWidth="1" min="14" max="14" width="12.38"/>
    <col customWidth="1" min="15" max="15" width="17.88"/>
    <col customWidth="1" min="16" max="16" width="23.88"/>
    <col customWidth="1" hidden="1" min="17" max="17" width="40.0"/>
    <col customWidth="1" min="18" max="18" width="16.88"/>
    <col customWidth="1" min="19" max="20" width="16.75"/>
    <col customWidth="1" min="21" max="21" width="16.38"/>
    <col customWidth="1" min="22" max="22" width="15.75"/>
    <col customWidth="1" min="23" max="26" width="17.88"/>
  </cols>
  <sheetData>
    <row r="1" ht="15.75" customHeight="1">
      <c r="A1" s="12"/>
      <c r="B1" s="131" t="s">
        <v>133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12"/>
      <c r="P1" s="64" t="s">
        <v>133</v>
      </c>
      <c r="Q1" s="17"/>
      <c r="R1" s="17"/>
      <c r="S1" s="17"/>
      <c r="T1" s="17"/>
      <c r="U1" s="17"/>
      <c r="V1" s="18"/>
      <c r="W1" s="12"/>
      <c r="X1" s="12"/>
      <c r="Y1" s="12"/>
      <c r="Z1" s="12"/>
    </row>
    <row r="2" ht="15.75" customHeight="1">
      <c r="A2" s="12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12"/>
      <c r="P2" s="65" t="s">
        <v>23</v>
      </c>
      <c r="Q2" s="81" t="s">
        <v>24</v>
      </c>
      <c r="R2" s="67" t="s">
        <v>7</v>
      </c>
      <c r="S2" s="67" t="s">
        <v>8</v>
      </c>
      <c r="T2" s="67" t="s">
        <v>9</v>
      </c>
      <c r="U2" s="67" t="s">
        <v>10</v>
      </c>
      <c r="V2" s="67" t="s">
        <v>11</v>
      </c>
      <c r="W2" s="12"/>
      <c r="X2" s="12"/>
      <c r="Y2" s="12"/>
      <c r="Z2" s="12"/>
    </row>
    <row r="3" ht="15.75" customHeight="1">
      <c r="A3" s="12"/>
      <c r="B3" s="132" t="s">
        <v>134</v>
      </c>
      <c r="C3" s="133" t="s">
        <v>135</v>
      </c>
      <c r="D3" s="134"/>
      <c r="E3" s="134"/>
      <c r="F3" s="134"/>
      <c r="G3" s="135"/>
      <c r="H3" s="136"/>
      <c r="I3" s="132" t="s">
        <v>136</v>
      </c>
      <c r="J3" s="133" t="s">
        <v>135</v>
      </c>
      <c r="K3" s="134"/>
      <c r="L3" s="134"/>
      <c r="M3" s="134"/>
      <c r="N3" s="135"/>
      <c r="O3" s="12"/>
      <c r="P3" s="74" t="s">
        <v>0</v>
      </c>
      <c r="Q3" s="120" t="s">
        <v>29</v>
      </c>
      <c r="R3" s="76">
        <f t="shared" ref="R3:V3" si="1">J29/J32</f>
        <v>0.9156144927</v>
      </c>
      <c r="S3" s="76">
        <f t="shared" si="1"/>
        <v>0.8990404419</v>
      </c>
      <c r="T3" s="76">
        <f t="shared" si="1"/>
        <v>0.7985730598</v>
      </c>
      <c r="U3" s="76">
        <f t="shared" si="1"/>
        <v>0.8197072493</v>
      </c>
      <c r="V3" s="76">
        <f t="shared" si="1"/>
        <v>0.7715768775</v>
      </c>
      <c r="W3" s="12"/>
      <c r="X3" s="12"/>
      <c r="Y3" s="12"/>
      <c r="Z3" s="12"/>
    </row>
    <row r="4" ht="15.75" customHeight="1">
      <c r="A4" s="12"/>
      <c r="B4" s="34"/>
      <c r="C4" s="35" t="s">
        <v>7</v>
      </c>
      <c r="D4" s="35" t="s">
        <v>8</v>
      </c>
      <c r="E4" s="35" t="s">
        <v>9</v>
      </c>
      <c r="F4" s="35" t="s">
        <v>10</v>
      </c>
      <c r="G4" s="36" t="s">
        <v>11</v>
      </c>
      <c r="I4" s="34"/>
      <c r="J4" s="35" t="s">
        <v>7</v>
      </c>
      <c r="K4" s="35" t="s">
        <v>8</v>
      </c>
      <c r="L4" s="35" t="s">
        <v>9</v>
      </c>
      <c r="M4" s="35" t="s">
        <v>10</v>
      </c>
      <c r="N4" s="36" t="s">
        <v>11</v>
      </c>
      <c r="O4" s="12"/>
      <c r="P4" s="74" t="s">
        <v>6</v>
      </c>
      <c r="Q4" s="120" t="s">
        <v>30</v>
      </c>
      <c r="R4" s="76">
        <f t="shared" ref="R4:V4" si="2">(J29-J26)/J32</f>
        <v>0.1147480916</v>
      </c>
      <c r="S4" s="76">
        <f t="shared" si="2"/>
        <v>0.1398988438</v>
      </c>
      <c r="T4" s="76">
        <f t="shared" si="2"/>
        <v>0.1290160953</v>
      </c>
      <c r="U4" s="76">
        <f t="shared" si="2"/>
        <v>0.1427982665</v>
      </c>
      <c r="V4" s="76">
        <f t="shared" si="2"/>
        <v>0.1377986366</v>
      </c>
      <c r="W4" s="12"/>
      <c r="X4" s="12"/>
      <c r="Y4" s="12"/>
      <c r="Z4" s="12"/>
    </row>
    <row r="5" ht="15.75" customHeight="1">
      <c r="A5" s="12"/>
      <c r="B5" s="37"/>
      <c r="C5" s="38"/>
      <c r="D5" s="38"/>
      <c r="E5" s="38"/>
      <c r="F5" s="38"/>
      <c r="G5" s="39"/>
      <c r="I5" s="37"/>
      <c r="J5" s="38"/>
      <c r="K5" s="38"/>
      <c r="L5" s="38"/>
      <c r="M5" s="38"/>
      <c r="N5" s="39"/>
      <c r="O5" s="12"/>
      <c r="P5" s="74" t="s">
        <v>31</v>
      </c>
      <c r="Q5" s="120" t="s">
        <v>32</v>
      </c>
      <c r="R5" s="76">
        <f t="shared" ref="R5:U5" si="3">C11/((J36+K36)/2)</f>
        <v>3.296327575</v>
      </c>
      <c r="S5" s="76">
        <f t="shared" si="3"/>
        <v>2.663443521</v>
      </c>
      <c r="T5" s="76">
        <f t="shared" si="3"/>
        <v>1.828191514</v>
      </c>
      <c r="U5" s="76">
        <f t="shared" si="3"/>
        <v>2.437913212</v>
      </c>
      <c r="V5" s="76">
        <f>G11/(N36)</f>
        <v>2.749626688</v>
      </c>
      <c r="W5" s="12"/>
      <c r="X5" s="12"/>
      <c r="Y5" s="12"/>
      <c r="Z5" s="12"/>
    </row>
    <row r="6" ht="15.75" customHeight="1">
      <c r="A6" s="12"/>
      <c r="B6" s="40"/>
      <c r="C6" s="41" t="s">
        <v>33</v>
      </c>
      <c r="D6" s="41" t="s">
        <v>33</v>
      </c>
      <c r="E6" s="41" t="s">
        <v>33</v>
      </c>
      <c r="F6" s="41" t="s">
        <v>33</v>
      </c>
      <c r="G6" s="42" t="s">
        <v>33</v>
      </c>
      <c r="I6" s="40"/>
      <c r="J6" s="41" t="s">
        <v>33</v>
      </c>
      <c r="K6" s="41" t="s">
        <v>33</v>
      </c>
      <c r="L6" s="41" t="s">
        <v>33</v>
      </c>
      <c r="M6" s="41" t="s">
        <v>33</v>
      </c>
      <c r="N6" s="42" t="s">
        <v>33</v>
      </c>
      <c r="O6" s="12"/>
      <c r="P6" s="74" t="s">
        <v>34</v>
      </c>
      <c r="Q6" s="120" t="s">
        <v>35</v>
      </c>
      <c r="R6" s="76">
        <f t="shared" ref="R6:U6" si="4">C11/((J27+K27)/2)</f>
        <v>49.85511843</v>
      </c>
      <c r="S6" s="76">
        <f t="shared" si="4"/>
        <v>37.9374014</v>
      </c>
      <c r="T6" s="76">
        <f t="shared" si="4"/>
        <v>28.81342303</v>
      </c>
      <c r="U6" s="76">
        <f t="shared" si="4"/>
        <v>34.3318586</v>
      </c>
      <c r="V6" s="76">
        <f>G11/(N27)</f>
        <v>34.15979912</v>
      </c>
      <c r="W6" s="12"/>
      <c r="X6" s="12"/>
      <c r="Y6" s="12"/>
      <c r="Z6" s="12"/>
    </row>
    <row r="7" ht="15.75" customHeight="1">
      <c r="A7" s="12"/>
      <c r="B7" s="37"/>
      <c r="C7" s="38"/>
      <c r="D7" s="38"/>
      <c r="E7" s="38"/>
      <c r="F7" s="38"/>
      <c r="G7" s="39"/>
      <c r="I7" s="37"/>
      <c r="J7" s="38"/>
      <c r="K7" s="38"/>
      <c r="L7" s="38"/>
      <c r="M7" s="38"/>
      <c r="N7" s="39"/>
      <c r="O7" s="12"/>
      <c r="P7" s="74" t="s">
        <v>36</v>
      </c>
      <c r="Q7" s="120" t="s">
        <v>37</v>
      </c>
      <c r="R7" s="76">
        <f t="shared" ref="R7:U7" si="5">C21/((J26+K26)/2)</f>
        <v>7.594976973</v>
      </c>
      <c r="S7" s="76">
        <f t="shared" si="5"/>
        <v>6.252841658</v>
      </c>
      <c r="T7" s="76">
        <f t="shared" si="5"/>
        <v>4.871398802</v>
      </c>
      <c r="U7" s="76">
        <f t="shared" si="5"/>
        <v>7.00372081</v>
      </c>
      <c r="V7" s="76">
        <f>G21/(N26)</f>
        <v>6.952325845</v>
      </c>
      <c r="W7" s="12"/>
      <c r="X7" s="12"/>
      <c r="Y7" s="12"/>
      <c r="Z7" s="12"/>
    </row>
    <row r="8" ht="15.75" customHeight="1">
      <c r="A8" s="12"/>
      <c r="B8" s="43" t="s">
        <v>38</v>
      </c>
      <c r="C8" s="18"/>
      <c r="D8" s="35"/>
      <c r="E8" s="35"/>
      <c r="F8" s="35"/>
      <c r="G8" s="36"/>
      <c r="I8" s="43" t="s">
        <v>39</v>
      </c>
      <c r="J8" s="18"/>
      <c r="K8" s="35"/>
      <c r="L8" s="35"/>
      <c r="M8" s="35"/>
      <c r="N8" s="36"/>
      <c r="O8" s="12"/>
      <c r="P8" s="74" t="s">
        <v>18</v>
      </c>
      <c r="Q8" s="120" t="s">
        <v>40</v>
      </c>
      <c r="R8" s="76">
        <f t="shared" ref="R8:V8" si="6">J14/J36</f>
        <v>0.4957678865</v>
      </c>
      <c r="S8" s="76">
        <f t="shared" si="6"/>
        <v>0.4576845491</v>
      </c>
      <c r="T8" s="76">
        <f t="shared" si="6"/>
        <v>0.4663917982</v>
      </c>
      <c r="U8" s="76">
        <f t="shared" si="6"/>
        <v>0.5459257544</v>
      </c>
      <c r="V8" s="76">
        <f t="shared" si="6"/>
        <v>0.4338319575</v>
      </c>
      <c r="W8" s="12"/>
      <c r="X8" s="12"/>
      <c r="Y8" s="12"/>
      <c r="Z8" s="12"/>
    </row>
    <row r="9" ht="15.75" customHeight="1">
      <c r="A9" s="12"/>
      <c r="B9" s="40" t="s">
        <v>41</v>
      </c>
      <c r="C9" s="44">
        <v>934952.66</v>
      </c>
      <c r="D9" s="44">
        <v>728459.94</v>
      </c>
      <c r="E9" s="44">
        <v>514890.47</v>
      </c>
      <c r="F9" s="44">
        <v>566353.55</v>
      </c>
      <c r="G9" s="45">
        <v>605932.34</v>
      </c>
      <c r="I9" s="40" t="s">
        <v>42</v>
      </c>
      <c r="J9" s="44">
        <v>13771.56</v>
      </c>
      <c r="K9" s="44">
        <v>9181.04</v>
      </c>
      <c r="L9" s="44">
        <v>9181.04</v>
      </c>
      <c r="M9" s="44">
        <v>9181.04</v>
      </c>
      <c r="N9" s="45">
        <v>9181.04</v>
      </c>
      <c r="O9" s="12"/>
      <c r="P9" s="74" t="s">
        <v>43</v>
      </c>
      <c r="Q9" s="120" t="s">
        <v>44</v>
      </c>
      <c r="R9" s="76">
        <f t="shared" ref="R9:V9" si="7">J14/(J15-J14)</f>
        <v>0.9832136295</v>
      </c>
      <c r="S9" s="76">
        <f t="shared" si="7"/>
        <v>0.8439452507</v>
      </c>
      <c r="T9" s="76">
        <f t="shared" si="7"/>
        <v>0.8740341632</v>
      </c>
      <c r="U9" s="76">
        <f t="shared" si="7"/>
        <v>1.202283018</v>
      </c>
      <c r="V9" s="76">
        <f t="shared" si="7"/>
        <v>0.7662600588</v>
      </c>
      <c r="W9" s="12"/>
      <c r="X9" s="12"/>
      <c r="Y9" s="12"/>
      <c r="Z9" s="12"/>
    </row>
    <row r="10" ht="15.75" customHeight="1">
      <c r="A10" s="12"/>
      <c r="B10" s="40" t="s">
        <v>45</v>
      </c>
      <c r="C10" s="44">
        <v>95480.46</v>
      </c>
      <c r="D10" s="44">
        <v>130296.19</v>
      </c>
      <c r="E10" s="44">
        <v>136832.86</v>
      </c>
      <c r="F10" s="44">
        <v>80693.19</v>
      </c>
      <c r="G10" s="45">
        <v>78231.08</v>
      </c>
      <c r="I10" s="40" t="s">
        <v>46</v>
      </c>
      <c r="J10" s="44">
        <v>13771.56</v>
      </c>
      <c r="K10" s="44">
        <v>9181.04</v>
      </c>
      <c r="L10" s="44">
        <v>9181.04</v>
      </c>
      <c r="M10" s="44">
        <v>9181.04</v>
      </c>
      <c r="N10" s="45">
        <v>9181.04</v>
      </c>
      <c r="O10" s="12"/>
      <c r="P10" s="74" t="s">
        <v>47</v>
      </c>
      <c r="Q10" s="120" t="s">
        <v>48</v>
      </c>
      <c r="R10" s="76">
        <f t="shared" ref="R10:U10" si="8">AVERAGE(J36:K36)/AVERAGE(J12:K12)</f>
        <v>1.914487985</v>
      </c>
      <c r="S10" s="76">
        <f t="shared" si="8"/>
        <v>1.857696339</v>
      </c>
      <c r="T10" s="76">
        <f t="shared" si="8"/>
        <v>2.024715558</v>
      </c>
      <c r="U10" s="76">
        <f t="shared" si="8"/>
        <v>1.9682366</v>
      </c>
      <c r="V10" s="76">
        <f>AVERAGE(N36:O36)/N12</f>
        <v>1.766260059</v>
      </c>
      <c r="W10" s="12"/>
      <c r="X10" s="12"/>
      <c r="Y10" s="12"/>
      <c r="Z10" s="12"/>
    </row>
    <row r="11" ht="15.75" customHeight="1">
      <c r="A11" s="12"/>
      <c r="B11" s="40" t="s">
        <v>49</v>
      </c>
      <c r="C11" s="44">
        <v>839472.2</v>
      </c>
      <c r="D11" s="44">
        <v>598163.75</v>
      </c>
      <c r="E11" s="44">
        <v>378057.61</v>
      </c>
      <c r="F11" s="44">
        <v>485660.36</v>
      </c>
      <c r="G11" s="45">
        <v>527701.26</v>
      </c>
      <c r="I11" s="40" t="s">
        <v>50</v>
      </c>
      <c r="J11" s="44">
        <v>120985.98</v>
      </c>
      <c r="K11" s="44">
        <v>122105.32</v>
      </c>
      <c r="L11" s="44">
        <v>101319.0</v>
      </c>
      <c r="M11" s="44">
        <v>84587.83</v>
      </c>
      <c r="N11" s="45">
        <v>99476.47</v>
      </c>
      <c r="O11" s="12"/>
      <c r="P11" s="74" t="s">
        <v>51</v>
      </c>
      <c r="Q11" s="120" t="s">
        <v>52</v>
      </c>
      <c r="R11" s="76">
        <f t="shared" ref="R11:V11" si="9">(C27-C30)/C28</f>
        <v>2.389334037</v>
      </c>
      <c r="S11" s="76">
        <f t="shared" si="9"/>
        <v>7.451902011</v>
      </c>
      <c r="T11" s="76">
        <f t="shared" si="9"/>
        <v>10.60995436</v>
      </c>
      <c r="U11" s="76">
        <f t="shared" si="9"/>
        <v>0.3628761843</v>
      </c>
      <c r="V11" s="76">
        <f t="shared" si="9"/>
        <v>6.818799684</v>
      </c>
      <c r="W11" s="12"/>
      <c r="X11" s="12"/>
      <c r="Y11" s="12"/>
      <c r="Z11" s="12"/>
    </row>
    <row r="12" ht="15.75" customHeight="1">
      <c r="A12" s="12"/>
      <c r="B12" s="40" t="s">
        <v>53</v>
      </c>
      <c r="C12" s="44">
        <v>6165.54</v>
      </c>
      <c r="D12" s="44">
        <v>3748.07</v>
      </c>
      <c r="E12" s="44">
        <v>4567.5</v>
      </c>
      <c r="F12" s="44">
        <v>-7865.46</v>
      </c>
      <c r="G12" s="45">
        <v>3086.61</v>
      </c>
      <c r="I12" s="34" t="s">
        <v>54</v>
      </c>
      <c r="J12" s="46">
        <v>134757.54</v>
      </c>
      <c r="K12" s="46">
        <v>131286.36</v>
      </c>
      <c r="L12" s="46">
        <v>110500.04</v>
      </c>
      <c r="M12" s="46">
        <v>93768.87</v>
      </c>
      <c r="N12" s="47">
        <v>108657.51</v>
      </c>
      <c r="O12" s="12"/>
      <c r="P12" s="74" t="s">
        <v>55</v>
      </c>
      <c r="Q12" s="120" t="s">
        <v>56</v>
      </c>
      <c r="R12" s="76">
        <f t="shared" ref="R12:V12" si="10">C34/C11</f>
        <v>0.009817859364</v>
      </c>
      <c r="S12" s="76">
        <f t="shared" si="10"/>
        <v>0.04043056772</v>
      </c>
      <c r="T12" s="76">
        <f t="shared" si="10"/>
        <v>0.05775849876</v>
      </c>
      <c r="U12" s="76">
        <f t="shared" si="10"/>
        <v>0.002704009032</v>
      </c>
      <c r="V12" s="76">
        <f t="shared" si="10"/>
        <v>0.03201460993</v>
      </c>
      <c r="W12" s="12"/>
      <c r="X12" s="12"/>
      <c r="Y12" s="12"/>
      <c r="Z12" s="12"/>
    </row>
    <row r="13" ht="15.75" customHeight="1">
      <c r="A13" s="12"/>
      <c r="B13" s="40" t="s">
        <v>57</v>
      </c>
      <c r="C13" s="44">
        <v>7064.61</v>
      </c>
      <c r="D13" s="44">
        <v>12197.02</v>
      </c>
      <c r="E13" s="44">
        <v>5547.57</v>
      </c>
      <c r="F13" s="44">
        <v>6410.43</v>
      </c>
      <c r="G13" s="45">
        <v>3011.13</v>
      </c>
      <c r="I13" s="40" t="s">
        <v>58</v>
      </c>
      <c r="J13" s="44">
        <v>132495.45</v>
      </c>
      <c r="K13" s="44">
        <v>110798.5</v>
      </c>
      <c r="L13" s="44">
        <v>96580.81</v>
      </c>
      <c r="M13" s="44">
        <v>112736.72</v>
      </c>
      <c r="N13" s="45">
        <v>83259.91</v>
      </c>
      <c r="O13" s="12"/>
      <c r="P13" s="74" t="s">
        <v>59</v>
      </c>
      <c r="Q13" s="120" t="s">
        <v>60</v>
      </c>
      <c r="R13" s="76">
        <f t="shared" ref="R13:V13" si="11">(C14-C21)/C11</f>
        <v>0.03385242537</v>
      </c>
      <c r="S13" s="76">
        <f t="shared" si="11"/>
        <v>0.07856024375</v>
      </c>
      <c r="T13" s="76">
        <f t="shared" si="11"/>
        <v>0.1127623115</v>
      </c>
      <c r="U13" s="76">
        <f t="shared" si="11"/>
        <v>0.02251758822</v>
      </c>
      <c r="V13" s="76">
        <f t="shared" si="11"/>
        <v>0.06995175642</v>
      </c>
      <c r="W13" s="12"/>
      <c r="X13" s="12"/>
      <c r="Y13" s="12"/>
      <c r="Z13" s="12"/>
    </row>
    <row r="14" ht="15.75" customHeight="1">
      <c r="A14" s="12"/>
      <c r="B14" s="34" t="s">
        <v>61</v>
      </c>
      <c r="C14" s="46">
        <v>852702.35</v>
      </c>
      <c r="D14" s="46">
        <v>614108.84</v>
      </c>
      <c r="E14" s="46">
        <v>388172.68</v>
      </c>
      <c r="F14" s="46">
        <v>484205.33</v>
      </c>
      <c r="G14" s="47">
        <v>533799.0</v>
      </c>
      <c r="I14" s="34" t="s">
        <v>62</v>
      </c>
      <c r="J14" s="46">
        <v>132495.45</v>
      </c>
      <c r="K14" s="46">
        <v>110798.5</v>
      </c>
      <c r="L14" s="46">
        <v>96580.81</v>
      </c>
      <c r="M14" s="46">
        <v>112736.72</v>
      </c>
      <c r="N14" s="47">
        <v>83259.91</v>
      </c>
      <c r="O14" s="12"/>
      <c r="P14" s="74" t="s">
        <v>63</v>
      </c>
      <c r="Q14" s="120" t="s">
        <v>64</v>
      </c>
      <c r="R14" s="76">
        <f t="shared" ref="R14:U14" si="12">C34/AVERAGE(J36:K36)</f>
        <v>0.03236288055</v>
      </c>
      <c r="S14" s="76">
        <f t="shared" si="12"/>
        <v>0.1076845336</v>
      </c>
      <c r="T14" s="76">
        <f t="shared" si="12"/>
        <v>0.1055935973</v>
      </c>
      <c r="U14" s="76">
        <f t="shared" si="12"/>
        <v>0.006592139345</v>
      </c>
      <c r="V14" s="76">
        <f>G34/N36</f>
        <v>0.08802822589</v>
      </c>
      <c r="W14" s="12"/>
      <c r="X14" s="12"/>
      <c r="Y14" s="12"/>
      <c r="Z14" s="12"/>
    </row>
    <row r="15" ht="15.75" customHeight="1">
      <c r="A15" s="12"/>
      <c r="B15" s="43" t="s">
        <v>65</v>
      </c>
      <c r="C15" s="18"/>
      <c r="D15" s="35"/>
      <c r="E15" s="35"/>
      <c r="F15" s="35"/>
      <c r="G15" s="36"/>
      <c r="I15" s="34" t="s">
        <v>66</v>
      </c>
      <c r="J15" s="46">
        <v>267252.99</v>
      </c>
      <c r="K15" s="46">
        <v>242084.86</v>
      </c>
      <c r="L15" s="46">
        <v>207080.85</v>
      </c>
      <c r="M15" s="46">
        <v>206505.59</v>
      </c>
      <c r="N15" s="47">
        <v>191917.42</v>
      </c>
      <c r="O15" s="12"/>
      <c r="P15" s="74" t="s">
        <v>67</v>
      </c>
      <c r="Q15" s="120" t="s">
        <v>68</v>
      </c>
      <c r="R15" s="76">
        <f t="shared" ref="R15:U15" si="13">C26/((J36+K36)/2)</f>
        <v>0.08737866232</v>
      </c>
      <c r="S15" s="76">
        <f t="shared" si="13"/>
        <v>0.1925517422</v>
      </c>
      <c r="T15" s="76">
        <f t="shared" si="13"/>
        <v>0.1840638199</v>
      </c>
      <c r="U15" s="76">
        <f t="shared" si="13"/>
        <v>0.0943788864</v>
      </c>
      <c r="V15" s="76">
        <f>G26/(N36)</f>
        <v>0.1762582052</v>
      </c>
      <c r="W15" s="12"/>
      <c r="X15" s="12"/>
      <c r="Y15" s="12"/>
      <c r="Z15" s="12"/>
    </row>
    <row r="16" ht="15.75" customHeight="1">
      <c r="A16" s="12"/>
      <c r="B16" s="40" t="s">
        <v>69</v>
      </c>
      <c r="C16" s="44">
        <v>768014.64</v>
      </c>
      <c r="D16" s="44">
        <v>518224.18</v>
      </c>
      <c r="E16" s="44">
        <v>302449.22</v>
      </c>
      <c r="F16" s="44">
        <v>427926.57</v>
      </c>
      <c r="G16" s="45">
        <v>450911.97</v>
      </c>
      <c r="I16" s="34"/>
      <c r="J16" s="35" t="s">
        <v>7</v>
      </c>
      <c r="K16" s="35" t="s">
        <v>8</v>
      </c>
      <c r="L16" s="35" t="s">
        <v>9</v>
      </c>
      <c r="M16" s="35" t="s">
        <v>10</v>
      </c>
      <c r="N16" s="36" t="s">
        <v>11</v>
      </c>
      <c r="O16" s="12"/>
      <c r="P16" s="74" t="s">
        <v>70</v>
      </c>
      <c r="Q16" s="120" t="s">
        <v>71</v>
      </c>
      <c r="R16" s="76">
        <f t="shared" ref="R16:U16" si="14">C34/((J12+K12)/2)</f>
        <v>0.06195834597</v>
      </c>
      <c r="S16" s="76">
        <f t="shared" si="14"/>
        <v>0.2000451638</v>
      </c>
      <c r="T16" s="76">
        <f t="shared" si="14"/>
        <v>0.2137969993</v>
      </c>
      <c r="U16" s="76">
        <f t="shared" si="14"/>
        <v>0.01297488993</v>
      </c>
      <c r="V16" s="76">
        <f>G34/(N12)</f>
        <v>0.1554807394</v>
      </c>
      <c r="W16" s="12"/>
      <c r="X16" s="12"/>
      <c r="Y16" s="12"/>
      <c r="Z16" s="12"/>
    </row>
    <row r="17" ht="15.75" customHeight="1">
      <c r="A17" s="12"/>
      <c r="B17" s="40" t="s">
        <v>72</v>
      </c>
      <c r="C17" s="44">
        <v>7804.41</v>
      </c>
      <c r="D17" s="44">
        <v>7544.71</v>
      </c>
      <c r="E17" s="44">
        <v>4360.08</v>
      </c>
      <c r="F17" s="44">
        <v>5185.81</v>
      </c>
      <c r="G17" s="45">
        <v>6272.73</v>
      </c>
      <c r="I17" s="37"/>
      <c r="J17" s="38"/>
      <c r="K17" s="38"/>
      <c r="L17" s="38"/>
      <c r="M17" s="38"/>
      <c r="N17" s="39"/>
      <c r="O17" s="12"/>
      <c r="P17" s="74" t="s">
        <v>73</v>
      </c>
      <c r="Q17" s="120" t="s">
        <v>74</v>
      </c>
      <c r="R17" s="76">
        <f t="shared" ref="R17:V17" si="15">C36/C14</f>
        <v>0.003876335042</v>
      </c>
      <c r="S17" s="76">
        <f t="shared" si="15"/>
        <v>0.01569884583</v>
      </c>
      <c r="T17" s="76">
        <f t="shared" si="15"/>
        <v>0.02483551908</v>
      </c>
      <c r="U17" s="76">
        <f t="shared" si="15"/>
        <v>0.009955156834</v>
      </c>
      <c r="V17" s="76">
        <f t="shared" si="15"/>
        <v>0.01811824301</v>
      </c>
      <c r="W17" s="12"/>
      <c r="X17" s="12"/>
      <c r="Y17" s="12"/>
      <c r="Z17" s="12"/>
    </row>
    <row r="18" ht="15.75" customHeight="1">
      <c r="A18" s="12"/>
      <c r="B18" s="40" t="s">
        <v>75</v>
      </c>
      <c r="C18" s="44">
        <v>8769.85</v>
      </c>
      <c r="D18" s="44">
        <v>10991.7</v>
      </c>
      <c r="E18" s="44">
        <v>10712.04</v>
      </c>
      <c r="F18" s="44">
        <v>8792.65</v>
      </c>
      <c r="G18" s="45">
        <v>11102.17</v>
      </c>
      <c r="I18" s="40"/>
      <c r="J18" s="41" t="s">
        <v>33</v>
      </c>
      <c r="K18" s="41" t="s">
        <v>33</v>
      </c>
      <c r="L18" s="41" t="s">
        <v>33</v>
      </c>
      <c r="M18" s="41" t="s">
        <v>33</v>
      </c>
      <c r="N18" s="42" t="s">
        <v>33</v>
      </c>
      <c r="O18" s="12"/>
      <c r="P18" s="74" t="s">
        <v>76</v>
      </c>
      <c r="Q18" s="120" t="s">
        <v>77</v>
      </c>
      <c r="R18" s="76">
        <f t="shared" ref="R18:V18" si="16">(C34-C36)/C34</f>
        <v>0.5989526585</v>
      </c>
      <c r="S18" s="76">
        <f t="shared" si="16"/>
        <v>0.601357917</v>
      </c>
      <c r="T18" s="76">
        <f t="shared" si="16"/>
        <v>0.5585064874</v>
      </c>
      <c r="U18" s="76">
        <f t="shared" si="16"/>
        <v>-2.670598448</v>
      </c>
      <c r="V18" s="76">
        <f t="shared" si="16"/>
        <v>0.4275237286</v>
      </c>
      <c r="W18" s="12"/>
      <c r="X18" s="12"/>
      <c r="Y18" s="12"/>
      <c r="Z18" s="12"/>
    </row>
    <row r="19" ht="15.75" customHeight="1">
      <c r="A19" s="12"/>
      <c r="B19" s="40" t="s">
        <v>131</v>
      </c>
      <c r="C19" s="41">
        <v>81.06</v>
      </c>
      <c r="D19" s="41">
        <v>36.83</v>
      </c>
      <c r="E19" s="41">
        <v>65.03</v>
      </c>
      <c r="F19" s="41">
        <v>62.31</v>
      </c>
      <c r="G19" s="42">
        <v>79.7</v>
      </c>
      <c r="O19" s="12"/>
      <c r="P19" s="74" t="s">
        <v>79</v>
      </c>
      <c r="Q19" s="120" t="s">
        <v>80</v>
      </c>
      <c r="R19" s="76">
        <f t="shared" ref="R19:V19" si="17">C44/C40</f>
        <v>12.9180602</v>
      </c>
      <c r="S19" s="76">
        <f t="shared" si="17"/>
        <v>3.014426727</v>
      </c>
      <c r="T19" s="76">
        <f t="shared" si="17"/>
        <v>2.579058032</v>
      </c>
      <c r="U19" s="76">
        <f t="shared" si="17"/>
        <v>38.06293706</v>
      </c>
      <c r="V19" s="76">
        <f t="shared" si="17"/>
        <v>5.90923913</v>
      </c>
      <c r="W19" s="12"/>
      <c r="X19" s="12"/>
      <c r="Y19" s="12"/>
      <c r="Z19" s="12"/>
    </row>
    <row r="20" ht="15.75" customHeight="1">
      <c r="A20" s="12"/>
      <c r="B20" s="40" t="s">
        <v>81</v>
      </c>
      <c r="C20" s="44">
        <v>39614.22</v>
      </c>
      <c r="D20" s="44">
        <v>30319.53</v>
      </c>
      <c r="E20" s="44">
        <v>27947.97</v>
      </c>
      <c r="F20" s="44">
        <v>31296.36</v>
      </c>
      <c r="G20" s="45">
        <v>28515.51</v>
      </c>
      <c r="I20" s="43" t="s">
        <v>82</v>
      </c>
      <c r="J20" s="18"/>
      <c r="K20" s="35"/>
      <c r="L20" s="35"/>
      <c r="M20" s="35"/>
      <c r="N20" s="36"/>
      <c r="O20" s="12"/>
      <c r="P20" s="74" t="s">
        <v>83</v>
      </c>
      <c r="Q20" s="120" t="s">
        <v>84</v>
      </c>
      <c r="R20" s="76">
        <f t="shared" ref="R20:V20" si="18">C36/C39/C44*100</f>
        <v>0.03106970351</v>
      </c>
      <c r="S20" s="76">
        <f t="shared" si="18"/>
        <v>0.1322515259</v>
      </c>
      <c r="T20" s="76">
        <f t="shared" si="18"/>
        <v>0.17121167</v>
      </c>
      <c r="U20" s="76">
        <f t="shared" si="18"/>
        <v>0.09646004456</v>
      </c>
      <c r="V20" s="76">
        <f t="shared" si="18"/>
        <v>0.09688411323</v>
      </c>
      <c r="W20" s="12"/>
      <c r="X20" s="12"/>
      <c r="Y20" s="12"/>
      <c r="Z20" s="12"/>
    </row>
    <row r="21" ht="15.75" customHeight="1">
      <c r="A21" s="12"/>
      <c r="B21" s="40" t="s">
        <v>85</v>
      </c>
      <c r="C21" s="44">
        <v>824284.18</v>
      </c>
      <c r="D21" s="44">
        <v>567116.95</v>
      </c>
      <c r="E21" s="44">
        <v>345542.03</v>
      </c>
      <c r="F21" s="44">
        <v>473269.43</v>
      </c>
      <c r="G21" s="45">
        <v>496885.37</v>
      </c>
      <c r="I21" s="40" t="s">
        <v>86</v>
      </c>
      <c r="J21" s="44">
        <v>227681.44</v>
      </c>
      <c r="K21" s="44">
        <v>198808.3</v>
      </c>
      <c r="L21" s="44">
        <v>185640.65</v>
      </c>
      <c r="M21" s="44">
        <v>166934.83</v>
      </c>
      <c r="N21" s="45">
        <v>143599.26</v>
      </c>
      <c r="O21" s="12"/>
      <c r="P21" s="74" t="s">
        <v>87</v>
      </c>
      <c r="Q21" s="120" t="s">
        <v>88</v>
      </c>
      <c r="R21" s="76">
        <f t="shared" ref="R21:V21" si="19">C44/C42</f>
        <v>0.7894736842</v>
      </c>
      <c r="S21" s="76">
        <f t="shared" si="19"/>
        <v>0.5552447552</v>
      </c>
      <c r="T21" s="76">
        <f t="shared" si="19"/>
        <v>0.5095546693</v>
      </c>
      <c r="U21" s="76">
        <f t="shared" si="19"/>
        <v>0.5329482033</v>
      </c>
      <c r="V21" s="76">
        <f t="shared" si="19"/>
        <v>0.9187156738</v>
      </c>
      <c r="W21" s="12"/>
      <c r="X21" s="12"/>
      <c r="Y21" s="12"/>
      <c r="Z21" s="12"/>
    </row>
    <row r="22" ht="15.75" customHeight="1">
      <c r="A22" s="12"/>
      <c r="B22" s="34"/>
      <c r="C22" s="35" t="s">
        <v>7</v>
      </c>
      <c r="D22" s="35" t="s">
        <v>8</v>
      </c>
      <c r="E22" s="35" t="s">
        <v>9</v>
      </c>
      <c r="F22" s="35" t="s">
        <v>10</v>
      </c>
      <c r="G22" s="36" t="s">
        <v>11</v>
      </c>
      <c r="I22" s="40" t="s">
        <v>89</v>
      </c>
      <c r="J22" s="44">
        <v>62196.02</v>
      </c>
      <c r="K22" s="44">
        <v>51919.46</v>
      </c>
      <c r="L22" s="44">
        <v>42240.71</v>
      </c>
      <c r="M22" s="44">
        <v>33253.03</v>
      </c>
      <c r="N22" s="45">
        <v>24891.43</v>
      </c>
      <c r="O22" s="12"/>
      <c r="P22" s="74" t="s">
        <v>90</v>
      </c>
      <c r="Q22" s="120" t="s">
        <v>91</v>
      </c>
      <c r="R22" s="76">
        <f t="shared" ref="R22:V22" si="20">R12*R5*R10</f>
        <v>0.06195834597</v>
      </c>
      <c r="S22" s="76">
        <f t="shared" si="20"/>
        <v>0.2000451638</v>
      </c>
      <c r="T22" s="76">
        <f t="shared" si="20"/>
        <v>0.2137969993</v>
      </c>
      <c r="U22" s="76">
        <f t="shared" si="20"/>
        <v>0.01297488993</v>
      </c>
      <c r="V22" s="76">
        <f t="shared" si="20"/>
        <v>0.1554807394</v>
      </c>
      <c r="W22" s="12"/>
      <c r="X22" s="12"/>
      <c r="Y22" s="12"/>
      <c r="Z22" s="12"/>
    </row>
    <row r="23" ht="15.75" customHeight="1">
      <c r="A23" s="12"/>
      <c r="B23" s="37"/>
      <c r="C23" s="38"/>
      <c r="D23" s="38"/>
      <c r="E23" s="38"/>
      <c r="F23" s="38"/>
      <c r="G23" s="39"/>
      <c r="I23" s="34" t="s">
        <v>92</v>
      </c>
      <c r="J23" s="46">
        <v>165485.42</v>
      </c>
      <c r="K23" s="46">
        <v>146888.84</v>
      </c>
      <c r="L23" s="46">
        <v>143399.94</v>
      </c>
      <c r="M23" s="46">
        <v>133681.8</v>
      </c>
      <c r="N23" s="47">
        <v>118707.83</v>
      </c>
      <c r="O23" s="12"/>
      <c r="P23" s="77"/>
      <c r="Q23" s="77"/>
      <c r="R23" s="77"/>
      <c r="S23" s="77"/>
      <c r="T23" s="77"/>
      <c r="U23" s="77"/>
      <c r="V23" s="77"/>
      <c r="W23" s="12"/>
      <c r="X23" s="12"/>
      <c r="Y23" s="12"/>
      <c r="Z23" s="12"/>
    </row>
    <row r="24" ht="15.75" customHeight="1">
      <c r="A24" s="12"/>
      <c r="B24" s="40"/>
      <c r="C24" s="41" t="s">
        <v>33</v>
      </c>
      <c r="D24" s="41" t="s">
        <v>33</v>
      </c>
      <c r="E24" s="41" t="s">
        <v>33</v>
      </c>
      <c r="F24" s="41" t="s">
        <v>33</v>
      </c>
      <c r="G24" s="42" t="s">
        <v>33</v>
      </c>
      <c r="I24" s="40" t="s">
        <v>93</v>
      </c>
      <c r="J24" s="44">
        <v>48990.69</v>
      </c>
      <c r="K24" s="44">
        <v>44446.07</v>
      </c>
      <c r="L24" s="44">
        <v>33052.13</v>
      </c>
      <c r="M24" s="44">
        <v>29737.75</v>
      </c>
      <c r="N24" s="45">
        <v>23598.96</v>
      </c>
      <c r="O24" s="12"/>
      <c r="P24" s="77"/>
      <c r="Q24" s="77"/>
      <c r="R24" s="77"/>
      <c r="S24" s="77"/>
      <c r="T24" s="77"/>
      <c r="U24" s="77"/>
      <c r="V24" s="77"/>
      <c r="W24" s="12"/>
      <c r="X24" s="12"/>
      <c r="Y24" s="12"/>
      <c r="Z24" s="12"/>
    </row>
    <row r="25" ht="15.75" customHeight="1">
      <c r="A25" s="12"/>
      <c r="B25" s="37"/>
      <c r="C25" s="38"/>
      <c r="D25" s="38"/>
      <c r="E25" s="38"/>
      <c r="F25" s="38"/>
      <c r="G25" s="39"/>
      <c r="I25" s="34" t="s">
        <v>94</v>
      </c>
      <c r="J25" s="46">
        <v>57519.27</v>
      </c>
      <c r="K25" s="46">
        <v>57786.64</v>
      </c>
      <c r="L25" s="46">
        <v>48619.41</v>
      </c>
      <c r="M25" s="46">
        <v>39138.56</v>
      </c>
      <c r="N25" s="47">
        <v>49755.38</v>
      </c>
      <c r="O25" s="12"/>
      <c r="P25" s="77"/>
      <c r="Q25" s="77"/>
      <c r="R25" s="77"/>
      <c r="S25" s="77"/>
      <c r="T25" s="77"/>
      <c r="U25" s="77"/>
      <c r="V25" s="77"/>
      <c r="W25" s="12"/>
      <c r="X25" s="12"/>
      <c r="Y25" s="12"/>
      <c r="Z25" s="12"/>
    </row>
    <row r="26" ht="15.75" customHeight="1">
      <c r="A26" s="12"/>
      <c r="B26" s="34" t="s">
        <v>95</v>
      </c>
      <c r="C26" s="46">
        <v>22252.63</v>
      </c>
      <c r="D26" s="46">
        <v>43243.82</v>
      </c>
      <c r="E26" s="46">
        <v>38063.15</v>
      </c>
      <c r="F26" s="46">
        <v>18801.36</v>
      </c>
      <c r="G26" s="47">
        <v>33827.02</v>
      </c>
      <c r="I26" s="40" t="s">
        <v>96</v>
      </c>
      <c r="J26" s="44">
        <v>113853.41</v>
      </c>
      <c r="K26" s="44">
        <v>103206.94</v>
      </c>
      <c r="L26" s="44">
        <v>78188.01</v>
      </c>
      <c r="M26" s="44">
        <v>63677.62</v>
      </c>
      <c r="N26" s="45">
        <v>71470.38</v>
      </c>
      <c r="O26" s="12"/>
      <c r="P26" s="77"/>
      <c r="Q26" s="77"/>
      <c r="R26" s="77"/>
      <c r="S26" s="77"/>
      <c r="T26" s="77"/>
      <c r="U26" s="77"/>
      <c r="V26" s="77"/>
      <c r="W26" s="12"/>
      <c r="X26" s="12"/>
      <c r="Y26" s="12"/>
      <c r="Z26" s="12"/>
    </row>
    <row r="27" ht="15.75" customHeight="1">
      <c r="A27" s="12"/>
      <c r="B27" s="40" t="s">
        <v>97</v>
      </c>
      <c r="C27" s="44">
        <v>28418.17</v>
      </c>
      <c r="D27" s="44">
        <v>46991.89</v>
      </c>
      <c r="E27" s="44">
        <v>42630.65</v>
      </c>
      <c r="F27" s="44">
        <v>10935.9</v>
      </c>
      <c r="G27" s="45">
        <v>36913.63</v>
      </c>
      <c r="I27" s="40" t="s">
        <v>98</v>
      </c>
      <c r="J27" s="44">
        <v>15539.9</v>
      </c>
      <c r="K27" s="44">
        <v>18136.57</v>
      </c>
      <c r="L27" s="44">
        <v>13397.68</v>
      </c>
      <c r="M27" s="44">
        <v>12844.09</v>
      </c>
      <c r="N27" s="45">
        <v>15448.02</v>
      </c>
      <c r="O27" s="12"/>
      <c r="P27" s="77"/>
      <c r="Q27" s="77"/>
      <c r="R27" s="77"/>
      <c r="S27" s="77"/>
      <c r="T27" s="77"/>
      <c r="U27" s="77"/>
      <c r="V27" s="77"/>
      <c r="W27" s="12"/>
      <c r="X27" s="12"/>
      <c r="Y27" s="12"/>
      <c r="Z27" s="12"/>
    </row>
    <row r="28" ht="15.75" customHeight="1">
      <c r="A28" s="12"/>
      <c r="B28" s="40" t="s">
        <v>99</v>
      </c>
      <c r="C28" s="44">
        <v>6930.27</v>
      </c>
      <c r="D28" s="44">
        <v>4829.1</v>
      </c>
      <c r="E28" s="44">
        <v>3093.92</v>
      </c>
      <c r="F28" s="44">
        <v>5979.45</v>
      </c>
      <c r="G28" s="45">
        <v>4311.03</v>
      </c>
      <c r="I28" s="40" t="s">
        <v>100</v>
      </c>
      <c r="J28" s="41">
        <v>773.01</v>
      </c>
      <c r="K28" s="41">
        <v>882.98</v>
      </c>
      <c r="L28" s="44">
        <v>1668.27</v>
      </c>
      <c r="M28" s="41">
        <v>589.11</v>
      </c>
      <c r="N28" s="42">
        <v>91.36</v>
      </c>
      <c r="O28" s="12"/>
      <c r="P28" s="77"/>
      <c r="Q28" s="77"/>
      <c r="R28" s="77"/>
      <c r="S28" s="77"/>
      <c r="T28" s="77"/>
      <c r="U28" s="77"/>
      <c r="V28" s="77"/>
      <c r="W28" s="12"/>
      <c r="X28" s="12"/>
      <c r="Y28" s="12"/>
      <c r="Z28" s="12"/>
    </row>
    <row r="29" ht="15.75" customHeight="1">
      <c r="A29" s="12"/>
      <c r="B29" s="40" t="s">
        <v>101</v>
      </c>
      <c r="C29" s="44">
        <v>21487.9</v>
      </c>
      <c r="D29" s="44">
        <v>42162.79</v>
      </c>
      <c r="E29" s="44">
        <v>39536.73</v>
      </c>
      <c r="F29" s="44">
        <v>4956.45</v>
      </c>
      <c r="G29" s="45">
        <v>32602.6</v>
      </c>
      <c r="I29" s="40" t="s">
        <v>102</v>
      </c>
      <c r="J29" s="44">
        <v>130166.32</v>
      </c>
      <c r="K29" s="44">
        <v>122226.49</v>
      </c>
      <c r="L29" s="44">
        <v>93253.96</v>
      </c>
      <c r="M29" s="44">
        <v>77110.82</v>
      </c>
      <c r="N29" s="45">
        <v>87009.76</v>
      </c>
      <c r="O29" s="12"/>
      <c r="P29" s="77"/>
      <c r="Q29" s="77"/>
      <c r="R29" s="77"/>
      <c r="S29" s="77"/>
      <c r="T29" s="77"/>
      <c r="U29" s="77"/>
      <c r="V29" s="77"/>
      <c r="W29" s="12"/>
      <c r="X29" s="12"/>
      <c r="Y29" s="12"/>
      <c r="Z29" s="12"/>
    </row>
    <row r="30" ht="15.75" customHeight="1">
      <c r="A30" s="12"/>
      <c r="B30" s="40" t="s">
        <v>103</v>
      </c>
      <c r="C30" s="44">
        <v>11859.44</v>
      </c>
      <c r="D30" s="44">
        <v>11005.91</v>
      </c>
      <c r="E30" s="44">
        <v>9804.3</v>
      </c>
      <c r="F30" s="44">
        <v>8766.1</v>
      </c>
      <c r="G30" s="45">
        <v>7517.58</v>
      </c>
      <c r="I30" s="40" t="s">
        <v>104</v>
      </c>
      <c r="J30" s="44">
        <v>17794.39</v>
      </c>
      <c r="K30" s="44">
        <v>16991.06</v>
      </c>
      <c r="L30" s="44">
        <v>15728.64</v>
      </c>
      <c r="M30" s="44">
        <v>31421.63</v>
      </c>
      <c r="N30" s="45">
        <v>36635.79</v>
      </c>
      <c r="O30" s="12"/>
      <c r="P30" s="77"/>
      <c r="Q30" s="77"/>
      <c r="R30" s="77"/>
      <c r="S30" s="77"/>
      <c r="T30" s="77"/>
      <c r="U30" s="77"/>
      <c r="V30" s="77"/>
      <c r="W30" s="12"/>
      <c r="X30" s="12"/>
      <c r="Y30" s="12"/>
      <c r="Z30" s="12"/>
    </row>
    <row r="31" ht="15.75" customHeight="1">
      <c r="A31" s="12"/>
      <c r="B31" s="40" t="s">
        <v>105</v>
      </c>
      <c r="C31" s="44">
        <v>9628.46</v>
      </c>
      <c r="D31" s="44">
        <v>31156.88</v>
      </c>
      <c r="E31" s="44">
        <v>29732.43</v>
      </c>
      <c r="F31" s="44">
        <v>-3809.65</v>
      </c>
      <c r="G31" s="45">
        <v>25085.02</v>
      </c>
      <c r="I31" s="40" t="s">
        <v>106</v>
      </c>
      <c r="J31" s="44">
        <v>147960.71</v>
      </c>
      <c r="K31" s="44">
        <v>139217.55</v>
      </c>
      <c r="L31" s="44">
        <v>108982.6</v>
      </c>
      <c r="M31" s="44">
        <v>108532.45</v>
      </c>
      <c r="N31" s="45">
        <v>123645.55</v>
      </c>
      <c r="O31" s="12"/>
      <c r="P31" s="77"/>
      <c r="Q31" s="77"/>
      <c r="R31" s="77"/>
      <c r="S31" s="77"/>
      <c r="T31" s="77"/>
      <c r="U31" s="77"/>
      <c r="V31" s="77"/>
      <c r="W31" s="12"/>
      <c r="X31" s="12"/>
      <c r="Y31" s="12"/>
      <c r="Z31" s="12"/>
    </row>
    <row r="32" ht="15.75" customHeight="1">
      <c r="A32" s="12"/>
      <c r="B32" s="40" t="s">
        <v>107</v>
      </c>
      <c r="C32" s="44">
        <v>9628.46</v>
      </c>
      <c r="D32" s="44">
        <v>31156.88</v>
      </c>
      <c r="E32" s="44">
        <v>29732.43</v>
      </c>
      <c r="F32" s="44">
        <v>-3809.65</v>
      </c>
      <c r="G32" s="45">
        <v>25085.02</v>
      </c>
      <c r="I32" s="40" t="s">
        <v>108</v>
      </c>
      <c r="J32" s="44">
        <v>142162.8</v>
      </c>
      <c r="K32" s="44">
        <v>135952.16</v>
      </c>
      <c r="L32" s="44">
        <v>116775.74</v>
      </c>
      <c r="M32" s="44">
        <v>94071.17</v>
      </c>
      <c r="N32" s="45">
        <v>112768.75</v>
      </c>
      <c r="O32" s="12"/>
      <c r="P32" s="77"/>
      <c r="Q32" s="77"/>
      <c r="R32" s="77"/>
      <c r="S32" s="77"/>
      <c r="T32" s="77"/>
      <c r="U32" s="77"/>
      <c r="V32" s="77"/>
      <c r="W32" s="12"/>
      <c r="X32" s="12"/>
      <c r="Y32" s="12"/>
      <c r="Z32" s="12"/>
    </row>
    <row r="33" ht="15.75" customHeight="1">
      <c r="A33" s="12"/>
      <c r="B33" s="40" t="s">
        <v>109</v>
      </c>
      <c r="C33" s="44">
        <v>1456.32</v>
      </c>
      <c r="D33" s="44">
        <v>7548.97</v>
      </c>
      <c r="E33" s="44">
        <v>7879.61</v>
      </c>
      <c r="F33" s="44">
        <v>-5007.34</v>
      </c>
      <c r="G33" s="45">
        <v>8232.77</v>
      </c>
      <c r="I33" s="40" t="s">
        <v>110</v>
      </c>
      <c r="J33" s="44">
        <v>10540.3</v>
      </c>
      <c r="K33" s="44">
        <v>10302.08</v>
      </c>
      <c r="L33" s="44">
        <v>10197.49</v>
      </c>
      <c r="M33" s="44">
        <v>10513.8</v>
      </c>
      <c r="N33" s="45">
        <v>11021.55</v>
      </c>
      <c r="O33" s="12"/>
      <c r="P33" s="77"/>
      <c r="Q33" s="77"/>
      <c r="R33" s="77"/>
      <c r="S33" s="77"/>
      <c r="T33" s="77"/>
      <c r="U33" s="77"/>
      <c r="V33" s="77"/>
      <c r="W33" s="12"/>
      <c r="X33" s="12"/>
      <c r="Y33" s="12"/>
      <c r="Z33" s="12"/>
    </row>
    <row r="34" ht="15.75" customHeight="1">
      <c r="A34" s="12"/>
      <c r="B34" s="34" t="s">
        <v>111</v>
      </c>
      <c r="C34" s="46">
        <v>8241.82</v>
      </c>
      <c r="D34" s="46">
        <v>24184.1</v>
      </c>
      <c r="E34" s="46">
        <v>21836.04</v>
      </c>
      <c r="F34" s="46">
        <v>1313.23</v>
      </c>
      <c r="G34" s="47">
        <v>16894.15</v>
      </c>
      <c r="I34" s="40" t="s">
        <v>112</v>
      </c>
      <c r="J34" s="44">
        <v>152703.1</v>
      </c>
      <c r="K34" s="44">
        <v>146254.24</v>
      </c>
      <c r="L34" s="44">
        <v>126973.23</v>
      </c>
      <c r="M34" s="44">
        <v>104584.97</v>
      </c>
      <c r="N34" s="45">
        <v>123790.3</v>
      </c>
      <c r="O34" s="12"/>
      <c r="P34" s="77"/>
      <c r="Q34" s="77"/>
      <c r="R34" s="77"/>
      <c r="S34" s="77"/>
      <c r="T34" s="77"/>
      <c r="U34" s="77"/>
      <c r="V34" s="77"/>
      <c r="W34" s="12"/>
      <c r="X34" s="12"/>
      <c r="Y34" s="12"/>
      <c r="Z34" s="12"/>
    </row>
    <row r="35" ht="15.75" customHeight="1">
      <c r="A35" s="12"/>
      <c r="B35" s="40" t="s">
        <v>113</v>
      </c>
      <c r="C35" s="44">
        <v>56269.54</v>
      </c>
      <c r="D35" s="44">
        <v>48892.77</v>
      </c>
      <c r="E35" s="44">
        <v>43092.81</v>
      </c>
      <c r="F35" s="44">
        <v>45342.86</v>
      </c>
      <c r="G35" s="45">
        <v>45973.4</v>
      </c>
      <c r="I35" s="34" t="s">
        <v>114</v>
      </c>
      <c r="J35" s="46">
        <v>-4742.39</v>
      </c>
      <c r="K35" s="46">
        <v>-7036.69</v>
      </c>
      <c r="L35" s="46">
        <v>-17990.63</v>
      </c>
      <c r="M35" s="46">
        <v>3947.48</v>
      </c>
      <c r="N35" s="36">
        <v>-144.75</v>
      </c>
      <c r="O35" s="12"/>
      <c r="P35" s="77"/>
      <c r="Q35" s="77"/>
      <c r="R35" s="77"/>
      <c r="S35" s="77"/>
      <c r="T35" s="77"/>
      <c r="U35" s="77"/>
      <c r="V35" s="77"/>
      <c r="W35" s="12"/>
      <c r="X35" s="12"/>
      <c r="Y35" s="12"/>
      <c r="Z35" s="12"/>
    </row>
    <row r="36" ht="15.75" customHeight="1">
      <c r="A36" s="12"/>
      <c r="B36" s="40" t="s">
        <v>115</v>
      </c>
      <c r="C36" s="44">
        <v>3305.36</v>
      </c>
      <c r="D36" s="44">
        <v>9640.8</v>
      </c>
      <c r="E36" s="44">
        <v>9640.47</v>
      </c>
      <c r="F36" s="44">
        <v>4820.34</v>
      </c>
      <c r="G36" s="45">
        <v>9671.5</v>
      </c>
      <c r="I36" s="34" t="s">
        <v>116</v>
      </c>
      <c r="J36" s="46">
        <v>267252.99</v>
      </c>
      <c r="K36" s="46">
        <v>242084.86</v>
      </c>
      <c r="L36" s="46">
        <v>207080.85</v>
      </c>
      <c r="M36" s="46">
        <v>206505.59</v>
      </c>
      <c r="N36" s="47">
        <v>191917.42</v>
      </c>
      <c r="O36" s="12"/>
      <c r="P36" s="77"/>
      <c r="Q36" s="77"/>
      <c r="R36" s="77"/>
      <c r="S36" s="77"/>
      <c r="T36" s="77"/>
      <c r="U36" s="77"/>
      <c r="V36" s="77"/>
      <c r="W36" s="12"/>
      <c r="X36" s="12"/>
      <c r="Y36" s="12"/>
      <c r="Z36" s="12"/>
    </row>
    <row r="37" ht="15.75" customHeight="1">
      <c r="A37" s="12"/>
      <c r="B37" s="40" t="s">
        <v>117</v>
      </c>
      <c r="C37" s="41">
        <v>0.0</v>
      </c>
      <c r="D37" s="41">
        <v>0.0</v>
      </c>
      <c r="E37" s="41">
        <v>0.0</v>
      </c>
      <c r="F37" s="44">
        <v>1005.94</v>
      </c>
      <c r="G37" s="45">
        <v>1985.29</v>
      </c>
      <c r="I37" s="37"/>
      <c r="J37" s="38"/>
      <c r="K37" s="38"/>
      <c r="L37" s="38"/>
      <c r="M37" s="38"/>
      <c r="N37" s="39"/>
      <c r="O37" s="49"/>
      <c r="P37" s="77"/>
      <c r="Q37" s="77"/>
      <c r="R37" s="77"/>
      <c r="S37" s="77"/>
      <c r="T37" s="77"/>
      <c r="U37" s="77"/>
      <c r="V37" s="77"/>
      <c r="W37" s="12"/>
      <c r="X37" s="12"/>
      <c r="Y37" s="12"/>
      <c r="Z37" s="12"/>
    </row>
    <row r="38" ht="15.75" customHeight="1">
      <c r="A38" s="12"/>
      <c r="B38" s="43" t="s">
        <v>118</v>
      </c>
      <c r="C38" s="18"/>
      <c r="D38" s="35"/>
      <c r="E38" s="35"/>
      <c r="F38" s="35"/>
      <c r="G38" s="36"/>
      <c r="I38" s="40" t="s">
        <v>119</v>
      </c>
      <c r="J38" s="44">
        <v>94419.12</v>
      </c>
      <c r="K38" s="44">
        <v>72662.25</v>
      </c>
      <c r="L38" s="44">
        <v>50499.67</v>
      </c>
      <c r="M38" s="44">
        <v>48120.0</v>
      </c>
      <c r="N38" s="45">
        <v>46827.58</v>
      </c>
      <c r="O38" s="12"/>
      <c r="P38" s="77"/>
      <c r="Q38" s="77"/>
      <c r="R38" s="77"/>
      <c r="S38" s="77"/>
      <c r="T38" s="77"/>
      <c r="U38" s="77"/>
      <c r="V38" s="77"/>
      <c r="W38" s="12"/>
      <c r="X38" s="12"/>
      <c r="Y38" s="12"/>
      <c r="Z38" s="12"/>
    </row>
    <row r="39" ht="15.75" customHeight="1">
      <c r="A39" s="12"/>
      <c r="B39" s="40" t="s">
        <v>120</v>
      </c>
      <c r="C39" s="44">
        <v>137715.61</v>
      </c>
      <c r="D39" s="44">
        <v>91810.4</v>
      </c>
      <c r="E39" s="44">
        <v>91810.4</v>
      </c>
      <c r="F39" s="44">
        <v>91810.4</v>
      </c>
      <c r="G39" s="45">
        <v>91810.4</v>
      </c>
      <c r="I39" s="40" t="s">
        <v>121</v>
      </c>
      <c r="J39" s="41">
        <v>97.85</v>
      </c>
      <c r="K39" s="41">
        <v>143.0</v>
      </c>
      <c r="L39" s="41">
        <v>120.36</v>
      </c>
      <c r="M39" s="41">
        <v>102.13</v>
      </c>
      <c r="N39" s="42">
        <v>118.35</v>
      </c>
      <c r="O39" s="12"/>
      <c r="P39" s="77"/>
      <c r="Q39" s="77"/>
      <c r="R39" s="77"/>
      <c r="S39" s="77"/>
      <c r="T39" s="77"/>
      <c r="U39" s="77"/>
      <c r="V39" s="77"/>
      <c r="W39" s="12"/>
      <c r="X39" s="12"/>
      <c r="Y39" s="12"/>
      <c r="Z39" s="12"/>
    </row>
    <row r="40" ht="15.75" customHeight="1">
      <c r="A40" s="12"/>
      <c r="B40" s="34" t="s">
        <v>122</v>
      </c>
      <c r="C40" s="35">
        <v>5.98</v>
      </c>
      <c r="D40" s="35">
        <v>26.34</v>
      </c>
      <c r="E40" s="35">
        <v>23.78</v>
      </c>
      <c r="F40" s="35">
        <v>1.43</v>
      </c>
      <c r="G40" s="36">
        <v>18.4</v>
      </c>
      <c r="I40" s="37"/>
      <c r="J40" s="38"/>
      <c r="K40" s="38"/>
      <c r="L40" s="38"/>
      <c r="M40" s="38"/>
      <c r="N40" s="39"/>
      <c r="O40" s="12"/>
      <c r="P40" s="77"/>
      <c r="Q40" s="77"/>
      <c r="R40" s="77"/>
      <c r="S40" s="77"/>
      <c r="T40" s="77"/>
      <c r="U40" s="77"/>
      <c r="V40" s="77"/>
      <c r="W40" s="12"/>
      <c r="X40" s="12"/>
      <c r="Y40" s="12"/>
      <c r="Z40" s="12"/>
    </row>
    <row r="41" ht="15.75" customHeight="1">
      <c r="A41" s="12"/>
      <c r="B41" s="40" t="s">
        <v>123</v>
      </c>
      <c r="C41" s="41">
        <v>30.0</v>
      </c>
      <c r="D41" s="41">
        <v>114.0</v>
      </c>
      <c r="E41" s="41">
        <v>120.0</v>
      </c>
      <c r="F41" s="41">
        <v>42.5</v>
      </c>
      <c r="G41" s="42">
        <v>92.5</v>
      </c>
      <c r="I41" s="37"/>
      <c r="J41" s="38"/>
      <c r="K41" s="38"/>
      <c r="L41" s="38"/>
      <c r="M41" s="38"/>
      <c r="N41" s="39"/>
      <c r="O41" s="12"/>
      <c r="P41" s="77"/>
      <c r="Q41" s="77"/>
      <c r="R41" s="77"/>
      <c r="S41" s="77"/>
      <c r="T41" s="77"/>
      <c r="U41" s="77"/>
      <c r="V41" s="77"/>
      <c r="W41" s="12"/>
      <c r="X41" s="12"/>
      <c r="Y41" s="12"/>
      <c r="Z41" s="12"/>
    </row>
    <row r="42" ht="15.75" customHeight="1">
      <c r="A42" s="12"/>
      <c r="B42" s="52" t="s">
        <v>121</v>
      </c>
      <c r="C42" s="54">
        <v>97.85</v>
      </c>
      <c r="D42" s="54">
        <v>143.0</v>
      </c>
      <c r="E42" s="54">
        <v>120.36</v>
      </c>
      <c r="F42" s="54">
        <v>102.13</v>
      </c>
      <c r="G42" s="55">
        <v>118.35</v>
      </c>
      <c r="I42" s="56"/>
      <c r="J42" s="57"/>
      <c r="K42" s="57"/>
      <c r="L42" s="57"/>
      <c r="M42" s="57"/>
      <c r="N42" s="58"/>
      <c r="O42" s="12"/>
      <c r="P42" s="77"/>
      <c r="Q42" s="77"/>
      <c r="R42" s="77"/>
      <c r="S42" s="77"/>
      <c r="T42" s="77"/>
      <c r="U42" s="77"/>
      <c r="V42" s="77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77"/>
      <c r="Q43" s="77"/>
      <c r="R43" s="77"/>
      <c r="S43" s="77"/>
      <c r="T43" s="77"/>
      <c r="U43" s="77"/>
      <c r="V43" s="77"/>
      <c r="W43" s="12"/>
      <c r="X43" s="12"/>
      <c r="Y43" s="12"/>
      <c r="Z43" s="12"/>
    </row>
    <row r="44" ht="15.75" customHeight="1">
      <c r="A44" s="12"/>
      <c r="B44" s="12" t="s">
        <v>124</v>
      </c>
      <c r="C44" s="12">
        <v>77.25</v>
      </c>
      <c r="D44" s="12">
        <v>79.4</v>
      </c>
      <c r="E44" s="12">
        <v>61.33</v>
      </c>
      <c r="F44" s="12">
        <v>54.43</v>
      </c>
      <c r="G44" s="12">
        <v>108.73</v>
      </c>
      <c r="H44" s="12"/>
      <c r="I44" s="12"/>
      <c r="J44" s="12"/>
      <c r="K44" s="12"/>
      <c r="L44" s="12"/>
      <c r="M44" s="12"/>
      <c r="N44" s="12"/>
      <c r="O44" s="12"/>
      <c r="P44" s="77"/>
      <c r="Q44" s="77"/>
      <c r="R44" s="77"/>
      <c r="S44" s="77"/>
      <c r="T44" s="77"/>
      <c r="U44" s="77"/>
      <c r="V44" s="77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77"/>
      <c r="Q45" s="77"/>
      <c r="R45" s="77"/>
      <c r="S45" s="77"/>
      <c r="T45" s="77"/>
      <c r="U45" s="77"/>
      <c r="V45" s="77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77"/>
      <c r="Q46" s="77"/>
      <c r="R46" s="77"/>
      <c r="S46" s="77"/>
      <c r="T46" s="77"/>
      <c r="U46" s="77"/>
      <c r="V46" s="77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77"/>
      <c r="Q47" s="77"/>
      <c r="R47" s="77"/>
      <c r="S47" s="77"/>
      <c r="T47" s="77"/>
      <c r="U47" s="77"/>
      <c r="V47" s="77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77"/>
      <c r="Q48" s="77"/>
      <c r="R48" s="77"/>
      <c r="S48" s="77"/>
      <c r="T48" s="77"/>
      <c r="U48" s="77"/>
      <c r="V48" s="77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77"/>
      <c r="Q49" s="77"/>
      <c r="R49" s="77"/>
      <c r="S49" s="77"/>
      <c r="T49" s="77"/>
      <c r="U49" s="77"/>
      <c r="V49" s="77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77"/>
      <c r="Q50" s="77"/>
      <c r="R50" s="77"/>
      <c r="S50" s="77"/>
      <c r="T50" s="77"/>
      <c r="U50" s="77"/>
      <c r="V50" s="77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77"/>
      <c r="Q51" s="77"/>
      <c r="R51" s="77"/>
      <c r="S51" s="77"/>
      <c r="T51" s="77"/>
      <c r="U51" s="77"/>
      <c r="V51" s="77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77"/>
      <c r="Q52" s="77"/>
      <c r="R52" s="77"/>
      <c r="S52" s="77"/>
      <c r="T52" s="77"/>
      <c r="U52" s="77"/>
      <c r="V52" s="77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77"/>
      <c r="Q53" s="77"/>
      <c r="R53" s="77"/>
      <c r="S53" s="77"/>
      <c r="T53" s="77"/>
      <c r="U53" s="77"/>
      <c r="V53" s="77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77"/>
      <c r="Q54" s="77"/>
      <c r="R54" s="77"/>
      <c r="S54" s="77"/>
      <c r="T54" s="77"/>
      <c r="U54" s="77"/>
      <c r="V54" s="77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77"/>
      <c r="Q55" s="77"/>
      <c r="R55" s="77"/>
      <c r="S55" s="77"/>
      <c r="T55" s="77"/>
      <c r="U55" s="77"/>
      <c r="V55" s="77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77"/>
      <c r="Q56" s="77"/>
      <c r="R56" s="77"/>
      <c r="S56" s="77"/>
      <c r="T56" s="77"/>
      <c r="U56" s="77"/>
      <c r="V56" s="77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77"/>
      <c r="Q57" s="77"/>
      <c r="R57" s="77"/>
      <c r="S57" s="77"/>
      <c r="T57" s="77"/>
      <c r="U57" s="77"/>
      <c r="V57" s="77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77"/>
      <c r="Q58" s="77"/>
      <c r="R58" s="77"/>
      <c r="S58" s="77"/>
      <c r="T58" s="77"/>
      <c r="U58" s="77"/>
      <c r="V58" s="77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77"/>
      <c r="Q59" s="77"/>
      <c r="R59" s="77"/>
      <c r="S59" s="77"/>
      <c r="T59" s="77"/>
      <c r="U59" s="77"/>
      <c r="V59" s="77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77"/>
      <c r="Q60" s="77"/>
      <c r="R60" s="77"/>
      <c r="S60" s="77"/>
      <c r="T60" s="77"/>
      <c r="U60" s="77"/>
      <c r="V60" s="77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77"/>
      <c r="Q61" s="77"/>
      <c r="R61" s="77"/>
      <c r="S61" s="77"/>
      <c r="T61" s="77"/>
      <c r="U61" s="77"/>
      <c r="V61" s="77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77"/>
      <c r="Q62" s="77"/>
      <c r="R62" s="77"/>
      <c r="S62" s="77"/>
      <c r="T62" s="77"/>
      <c r="U62" s="77"/>
      <c r="V62" s="77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77"/>
      <c r="Q63" s="77"/>
      <c r="R63" s="77"/>
      <c r="S63" s="77"/>
      <c r="T63" s="77"/>
      <c r="U63" s="77"/>
      <c r="V63" s="77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77"/>
      <c r="Q64" s="77"/>
      <c r="R64" s="77"/>
      <c r="S64" s="77"/>
      <c r="T64" s="77"/>
      <c r="U64" s="77"/>
      <c r="V64" s="77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77"/>
      <c r="Q65" s="77"/>
      <c r="R65" s="77"/>
      <c r="S65" s="77"/>
      <c r="T65" s="77"/>
      <c r="U65" s="77"/>
      <c r="V65" s="77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77"/>
      <c r="Q66" s="77"/>
      <c r="R66" s="77"/>
      <c r="S66" s="77"/>
      <c r="T66" s="77"/>
      <c r="U66" s="77"/>
      <c r="V66" s="77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77"/>
      <c r="Q67" s="77"/>
      <c r="R67" s="77"/>
      <c r="S67" s="77"/>
      <c r="T67" s="77"/>
      <c r="U67" s="77"/>
      <c r="V67" s="77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77"/>
      <c r="Q68" s="77"/>
      <c r="R68" s="77"/>
      <c r="S68" s="77"/>
      <c r="T68" s="77"/>
      <c r="U68" s="77"/>
      <c r="V68" s="77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77"/>
      <c r="Q69" s="77"/>
      <c r="R69" s="77"/>
      <c r="S69" s="77"/>
      <c r="T69" s="77"/>
      <c r="U69" s="77"/>
      <c r="V69" s="77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77"/>
      <c r="Q70" s="77"/>
      <c r="R70" s="77"/>
      <c r="S70" s="77"/>
      <c r="T70" s="77"/>
      <c r="U70" s="77"/>
      <c r="V70" s="77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77"/>
      <c r="Q71" s="77"/>
      <c r="R71" s="77"/>
      <c r="S71" s="77"/>
      <c r="T71" s="77"/>
      <c r="U71" s="77"/>
      <c r="V71" s="77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77"/>
      <c r="Q72" s="77"/>
      <c r="R72" s="77"/>
      <c r="S72" s="77"/>
      <c r="T72" s="77"/>
      <c r="U72" s="77"/>
      <c r="V72" s="77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77"/>
      <c r="Q73" s="77"/>
      <c r="R73" s="77"/>
      <c r="S73" s="77"/>
      <c r="T73" s="77"/>
      <c r="U73" s="77"/>
      <c r="V73" s="77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77"/>
      <c r="Q74" s="77"/>
      <c r="R74" s="77"/>
      <c r="S74" s="77"/>
      <c r="T74" s="77"/>
      <c r="U74" s="77"/>
      <c r="V74" s="77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77"/>
      <c r="Q75" s="77"/>
      <c r="R75" s="77"/>
      <c r="S75" s="77"/>
      <c r="T75" s="77"/>
      <c r="U75" s="77"/>
      <c r="V75" s="77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77"/>
      <c r="Q76" s="77"/>
      <c r="R76" s="77"/>
      <c r="S76" s="77"/>
      <c r="T76" s="77"/>
      <c r="U76" s="77"/>
      <c r="V76" s="77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77"/>
      <c r="Q77" s="77"/>
      <c r="R77" s="77"/>
      <c r="S77" s="77"/>
      <c r="T77" s="77"/>
      <c r="U77" s="77"/>
      <c r="V77" s="77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77"/>
      <c r="Q78" s="77"/>
      <c r="R78" s="77"/>
      <c r="S78" s="77"/>
      <c r="T78" s="77"/>
      <c r="U78" s="77"/>
      <c r="V78" s="77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77"/>
      <c r="Q79" s="77"/>
      <c r="R79" s="77"/>
      <c r="S79" s="77"/>
      <c r="T79" s="77"/>
      <c r="U79" s="77"/>
      <c r="V79" s="77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77"/>
      <c r="Q80" s="77"/>
      <c r="R80" s="77"/>
      <c r="S80" s="77"/>
      <c r="T80" s="77"/>
      <c r="U80" s="77"/>
      <c r="V80" s="77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77"/>
      <c r="Q81" s="77"/>
      <c r="R81" s="77"/>
      <c r="S81" s="77"/>
      <c r="T81" s="77"/>
      <c r="U81" s="77"/>
      <c r="V81" s="77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77"/>
      <c r="Q82" s="77"/>
      <c r="R82" s="77"/>
      <c r="S82" s="77"/>
      <c r="T82" s="77"/>
      <c r="U82" s="77"/>
      <c r="V82" s="77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77"/>
      <c r="Q83" s="77"/>
      <c r="R83" s="77"/>
      <c r="S83" s="77"/>
      <c r="T83" s="77"/>
      <c r="U83" s="77"/>
      <c r="V83" s="77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77"/>
      <c r="Q84" s="77"/>
      <c r="R84" s="77"/>
      <c r="S84" s="77"/>
      <c r="T84" s="77"/>
      <c r="U84" s="77"/>
      <c r="V84" s="77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77"/>
      <c r="Q85" s="77"/>
      <c r="R85" s="77"/>
      <c r="S85" s="77"/>
      <c r="T85" s="77"/>
      <c r="U85" s="77"/>
      <c r="V85" s="77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77"/>
      <c r="Q86" s="77"/>
      <c r="R86" s="77"/>
      <c r="S86" s="77"/>
      <c r="T86" s="77"/>
      <c r="U86" s="77"/>
      <c r="V86" s="77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77"/>
      <c r="Q87" s="77"/>
      <c r="R87" s="77"/>
      <c r="S87" s="77"/>
      <c r="T87" s="77"/>
      <c r="U87" s="77"/>
      <c r="V87" s="77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77"/>
      <c r="Q88" s="77"/>
      <c r="R88" s="77"/>
      <c r="S88" s="77"/>
      <c r="T88" s="77"/>
      <c r="U88" s="77"/>
      <c r="V88" s="77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77"/>
      <c r="Q89" s="77"/>
      <c r="R89" s="77"/>
      <c r="S89" s="77"/>
      <c r="T89" s="77"/>
      <c r="U89" s="77"/>
      <c r="V89" s="77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77"/>
      <c r="Q90" s="77"/>
      <c r="R90" s="77"/>
      <c r="S90" s="77"/>
      <c r="T90" s="77"/>
      <c r="U90" s="77"/>
      <c r="V90" s="77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77"/>
      <c r="Q91" s="77"/>
      <c r="R91" s="77"/>
      <c r="S91" s="77"/>
      <c r="T91" s="77"/>
      <c r="U91" s="77"/>
      <c r="V91" s="77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77"/>
      <c r="Q92" s="77"/>
      <c r="R92" s="77"/>
      <c r="S92" s="77"/>
      <c r="T92" s="77"/>
      <c r="U92" s="77"/>
      <c r="V92" s="77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77"/>
      <c r="Q93" s="77"/>
      <c r="R93" s="77"/>
      <c r="S93" s="77"/>
      <c r="T93" s="77"/>
      <c r="U93" s="77"/>
      <c r="V93" s="77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77"/>
      <c r="Q94" s="77"/>
      <c r="R94" s="77"/>
      <c r="S94" s="77"/>
      <c r="T94" s="77"/>
      <c r="U94" s="77"/>
      <c r="V94" s="77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77"/>
      <c r="Q95" s="77"/>
      <c r="R95" s="77"/>
      <c r="S95" s="77"/>
      <c r="T95" s="77"/>
      <c r="U95" s="77"/>
      <c r="V95" s="77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77"/>
      <c r="Q96" s="77"/>
      <c r="R96" s="77"/>
      <c r="S96" s="77"/>
      <c r="T96" s="77"/>
      <c r="U96" s="77"/>
      <c r="V96" s="77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77"/>
      <c r="Q97" s="77"/>
      <c r="R97" s="77"/>
      <c r="S97" s="77"/>
      <c r="T97" s="77"/>
      <c r="U97" s="77"/>
      <c r="V97" s="77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77"/>
      <c r="Q98" s="77"/>
      <c r="R98" s="77"/>
      <c r="S98" s="77"/>
      <c r="T98" s="77"/>
      <c r="U98" s="77"/>
      <c r="V98" s="77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77"/>
      <c r="Q99" s="77"/>
      <c r="R99" s="77"/>
      <c r="S99" s="77"/>
      <c r="T99" s="77"/>
      <c r="U99" s="77"/>
      <c r="V99" s="77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77"/>
      <c r="Q100" s="77"/>
      <c r="R100" s="77"/>
      <c r="S100" s="77"/>
      <c r="T100" s="77"/>
      <c r="U100" s="77"/>
      <c r="V100" s="77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77"/>
      <c r="Q101" s="77"/>
      <c r="R101" s="77"/>
      <c r="S101" s="77"/>
      <c r="T101" s="77"/>
      <c r="U101" s="77"/>
      <c r="V101" s="77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77"/>
      <c r="Q102" s="77"/>
      <c r="R102" s="77"/>
      <c r="S102" s="77"/>
      <c r="T102" s="77"/>
      <c r="U102" s="77"/>
      <c r="V102" s="77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77"/>
      <c r="Q103" s="77"/>
      <c r="R103" s="77"/>
      <c r="S103" s="77"/>
      <c r="T103" s="77"/>
      <c r="U103" s="77"/>
      <c r="V103" s="77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77"/>
      <c r="Q104" s="77"/>
      <c r="R104" s="77"/>
      <c r="S104" s="77"/>
      <c r="T104" s="77"/>
      <c r="U104" s="77"/>
      <c r="V104" s="77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77"/>
      <c r="Q105" s="77"/>
      <c r="R105" s="77"/>
      <c r="S105" s="77"/>
      <c r="T105" s="77"/>
      <c r="U105" s="77"/>
      <c r="V105" s="77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77"/>
      <c r="Q106" s="77"/>
      <c r="R106" s="77"/>
      <c r="S106" s="77"/>
      <c r="T106" s="77"/>
      <c r="U106" s="77"/>
      <c r="V106" s="77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77"/>
      <c r="Q107" s="77"/>
      <c r="R107" s="77"/>
      <c r="S107" s="77"/>
      <c r="T107" s="77"/>
      <c r="U107" s="77"/>
      <c r="V107" s="77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77"/>
      <c r="Q108" s="77"/>
      <c r="R108" s="77"/>
      <c r="S108" s="77"/>
      <c r="T108" s="77"/>
      <c r="U108" s="77"/>
      <c r="V108" s="77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77"/>
      <c r="Q109" s="77"/>
      <c r="R109" s="77"/>
      <c r="S109" s="77"/>
      <c r="T109" s="77"/>
      <c r="U109" s="77"/>
      <c r="V109" s="77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77"/>
      <c r="Q110" s="77"/>
      <c r="R110" s="77"/>
      <c r="S110" s="77"/>
      <c r="T110" s="77"/>
      <c r="U110" s="77"/>
      <c r="V110" s="77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77"/>
      <c r="Q111" s="77"/>
      <c r="R111" s="77"/>
      <c r="S111" s="77"/>
      <c r="T111" s="77"/>
      <c r="U111" s="77"/>
      <c r="V111" s="77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77"/>
      <c r="Q112" s="77"/>
      <c r="R112" s="77"/>
      <c r="S112" s="77"/>
      <c r="T112" s="77"/>
      <c r="U112" s="77"/>
      <c r="V112" s="77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77"/>
      <c r="Q113" s="77"/>
      <c r="R113" s="77"/>
      <c r="S113" s="77"/>
      <c r="T113" s="77"/>
      <c r="U113" s="77"/>
      <c r="V113" s="77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77"/>
      <c r="Q114" s="77"/>
      <c r="R114" s="77"/>
      <c r="S114" s="77"/>
      <c r="T114" s="77"/>
      <c r="U114" s="77"/>
      <c r="V114" s="77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77"/>
      <c r="Q115" s="77"/>
      <c r="R115" s="77"/>
      <c r="S115" s="77"/>
      <c r="T115" s="77"/>
      <c r="U115" s="77"/>
      <c r="V115" s="77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77"/>
      <c r="Q116" s="77"/>
      <c r="R116" s="77"/>
      <c r="S116" s="77"/>
      <c r="T116" s="77"/>
      <c r="U116" s="77"/>
      <c r="V116" s="77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77"/>
      <c r="Q117" s="77"/>
      <c r="R117" s="77"/>
      <c r="S117" s="77"/>
      <c r="T117" s="77"/>
      <c r="U117" s="77"/>
      <c r="V117" s="77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77"/>
      <c r="Q118" s="77"/>
      <c r="R118" s="77"/>
      <c r="S118" s="77"/>
      <c r="T118" s="77"/>
      <c r="U118" s="77"/>
      <c r="V118" s="77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77"/>
      <c r="Q119" s="77"/>
      <c r="R119" s="77"/>
      <c r="S119" s="77"/>
      <c r="T119" s="77"/>
      <c r="U119" s="77"/>
      <c r="V119" s="77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77"/>
      <c r="Q120" s="77"/>
      <c r="R120" s="77"/>
      <c r="S120" s="77"/>
      <c r="T120" s="77"/>
      <c r="U120" s="77"/>
      <c r="V120" s="77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77"/>
      <c r="Q121" s="77"/>
      <c r="R121" s="77"/>
      <c r="S121" s="77"/>
      <c r="T121" s="77"/>
      <c r="U121" s="77"/>
      <c r="V121" s="77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77"/>
      <c r="Q122" s="77"/>
      <c r="R122" s="77"/>
      <c r="S122" s="77"/>
      <c r="T122" s="77"/>
      <c r="U122" s="77"/>
      <c r="V122" s="77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77"/>
      <c r="Q123" s="77"/>
      <c r="R123" s="77"/>
      <c r="S123" s="77"/>
      <c r="T123" s="77"/>
      <c r="U123" s="77"/>
      <c r="V123" s="77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77"/>
      <c r="Q124" s="77"/>
      <c r="R124" s="77"/>
      <c r="S124" s="77"/>
      <c r="T124" s="77"/>
      <c r="U124" s="77"/>
      <c r="V124" s="77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77"/>
      <c r="Q125" s="77"/>
      <c r="R125" s="77"/>
      <c r="S125" s="77"/>
      <c r="T125" s="77"/>
      <c r="U125" s="77"/>
      <c r="V125" s="77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77"/>
      <c r="Q126" s="77"/>
      <c r="R126" s="77"/>
      <c r="S126" s="77"/>
      <c r="T126" s="77"/>
      <c r="U126" s="77"/>
      <c r="V126" s="77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77"/>
      <c r="Q127" s="77"/>
      <c r="R127" s="77"/>
      <c r="S127" s="77"/>
      <c r="T127" s="77"/>
      <c r="U127" s="77"/>
      <c r="V127" s="77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77"/>
      <c r="Q128" s="77"/>
      <c r="R128" s="77"/>
      <c r="S128" s="77"/>
      <c r="T128" s="77"/>
      <c r="U128" s="77"/>
      <c r="V128" s="77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77"/>
      <c r="Q129" s="77"/>
      <c r="R129" s="77"/>
      <c r="S129" s="77"/>
      <c r="T129" s="77"/>
      <c r="U129" s="77"/>
      <c r="V129" s="77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77"/>
      <c r="Q130" s="77"/>
      <c r="R130" s="77"/>
      <c r="S130" s="77"/>
      <c r="T130" s="77"/>
      <c r="U130" s="77"/>
      <c r="V130" s="77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77"/>
      <c r="Q131" s="77"/>
      <c r="R131" s="77"/>
      <c r="S131" s="77"/>
      <c r="T131" s="77"/>
      <c r="U131" s="77"/>
      <c r="V131" s="77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77"/>
      <c r="Q132" s="77"/>
      <c r="R132" s="77"/>
      <c r="S132" s="77"/>
      <c r="T132" s="77"/>
      <c r="U132" s="77"/>
      <c r="V132" s="77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77"/>
      <c r="Q133" s="77"/>
      <c r="R133" s="77"/>
      <c r="S133" s="77"/>
      <c r="T133" s="77"/>
      <c r="U133" s="77"/>
      <c r="V133" s="77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77"/>
      <c r="Q134" s="77"/>
      <c r="R134" s="77"/>
      <c r="S134" s="77"/>
      <c r="T134" s="77"/>
      <c r="U134" s="77"/>
      <c r="V134" s="77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77"/>
      <c r="Q135" s="77"/>
      <c r="R135" s="77"/>
      <c r="S135" s="77"/>
      <c r="T135" s="77"/>
      <c r="U135" s="77"/>
      <c r="V135" s="77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77"/>
      <c r="Q136" s="77"/>
      <c r="R136" s="77"/>
      <c r="S136" s="77"/>
      <c r="T136" s="77"/>
      <c r="U136" s="77"/>
      <c r="V136" s="77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77"/>
      <c r="Q137" s="77"/>
      <c r="R137" s="77"/>
      <c r="S137" s="77"/>
      <c r="T137" s="77"/>
      <c r="U137" s="77"/>
      <c r="V137" s="77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77"/>
      <c r="Q138" s="77"/>
      <c r="R138" s="77"/>
      <c r="S138" s="77"/>
      <c r="T138" s="77"/>
      <c r="U138" s="77"/>
      <c r="V138" s="77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77"/>
      <c r="Q139" s="77"/>
      <c r="R139" s="77"/>
      <c r="S139" s="77"/>
      <c r="T139" s="77"/>
      <c r="U139" s="77"/>
      <c r="V139" s="77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77"/>
      <c r="Q140" s="77"/>
      <c r="R140" s="77"/>
      <c r="S140" s="77"/>
      <c r="T140" s="77"/>
      <c r="U140" s="77"/>
      <c r="V140" s="77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77"/>
      <c r="Q141" s="77"/>
      <c r="R141" s="77"/>
      <c r="S141" s="77"/>
      <c r="T141" s="77"/>
      <c r="U141" s="77"/>
      <c r="V141" s="77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77"/>
      <c r="Q142" s="77"/>
      <c r="R142" s="77"/>
      <c r="S142" s="77"/>
      <c r="T142" s="77"/>
      <c r="U142" s="77"/>
      <c r="V142" s="77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77"/>
      <c r="Q143" s="77"/>
      <c r="R143" s="77"/>
      <c r="S143" s="77"/>
      <c r="T143" s="77"/>
      <c r="U143" s="77"/>
      <c r="V143" s="77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77"/>
      <c r="Q144" s="77"/>
      <c r="R144" s="77"/>
      <c r="S144" s="77"/>
      <c r="T144" s="77"/>
      <c r="U144" s="77"/>
      <c r="V144" s="77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77"/>
      <c r="Q145" s="77"/>
      <c r="R145" s="77"/>
      <c r="S145" s="77"/>
      <c r="T145" s="77"/>
      <c r="U145" s="77"/>
      <c r="V145" s="77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77"/>
      <c r="Q146" s="77"/>
      <c r="R146" s="77"/>
      <c r="S146" s="77"/>
      <c r="T146" s="77"/>
      <c r="U146" s="77"/>
      <c r="V146" s="77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77"/>
      <c r="Q147" s="77"/>
      <c r="R147" s="77"/>
      <c r="S147" s="77"/>
      <c r="T147" s="77"/>
      <c r="U147" s="77"/>
      <c r="V147" s="77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77"/>
      <c r="Q148" s="77"/>
      <c r="R148" s="77"/>
      <c r="S148" s="77"/>
      <c r="T148" s="77"/>
      <c r="U148" s="77"/>
      <c r="V148" s="77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77"/>
      <c r="Q149" s="77"/>
      <c r="R149" s="77"/>
      <c r="S149" s="77"/>
      <c r="T149" s="77"/>
      <c r="U149" s="77"/>
      <c r="V149" s="77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77"/>
      <c r="Q150" s="77"/>
      <c r="R150" s="77"/>
      <c r="S150" s="77"/>
      <c r="T150" s="77"/>
      <c r="U150" s="77"/>
      <c r="V150" s="77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77"/>
      <c r="Q151" s="77"/>
      <c r="R151" s="77"/>
      <c r="S151" s="77"/>
      <c r="T151" s="77"/>
      <c r="U151" s="77"/>
      <c r="V151" s="77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77"/>
      <c r="Q152" s="77"/>
      <c r="R152" s="77"/>
      <c r="S152" s="77"/>
      <c r="T152" s="77"/>
      <c r="U152" s="77"/>
      <c r="V152" s="77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77"/>
      <c r="Q153" s="77"/>
      <c r="R153" s="77"/>
      <c r="S153" s="77"/>
      <c r="T153" s="77"/>
      <c r="U153" s="77"/>
      <c r="V153" s="77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77"/>
      <c r="Q154" s="77"/>
      <c r="R154" s="77"/>
      <c r="S154" s="77"/>
      <c r="T154" s="77"/>
      <c r="U154" s="77"/>
      <c r="V154" s="77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77"/>
      <c r="Q155" s="77"/>
      <c r="R155" s="77"/>
      <c r="S155" s="77"/>
      <c r="T155" s="77"/>
      <c r="U155" s="77"/>
      <c r="V155" s="77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77"/>
      <c r="Q156" s="77"/>
      <c r="R156" s="77"/>
      <c r="S156" s="77"/>
      <c r="T156" s="77"/>
      <c r="U156" s="77"/>
      <c r="V156" s="77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77"/>
      <c r="Q157" s="77"/>
      <c r="R157" s="77"/>
      <c r="S157" s="77"/>
      <c r="T157" s="77"/>
      <c r="U157" s="77"/>
      <c r="V157" s="77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77"/>
      <c r="Q158" s="77"/>
      <c r="R158" s="77"/>
      <c r="S158" s="77"/>
      <c r="T158" s="77"/>
      <c r="U158" s="77"/>
      <c r="V158" s="77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77"/>
      <c r="Q159" s="77"/>
      <c r="R159" s="77"/>
      <c r="S159" s="77"/>
      <c r="T159" s="77"/>
      <c r="U159" s="77"/>
      <c r="V159" s="77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77"/>
      <c r="Q160" s="77"/>
      <c r="R160" s="77"/>
      <c r="S160" s="77"/>
      <c r="T160" s="77"/>
      <c r="U160" s="77"/>
      <c r="V160" s="77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77"/>
      <c r="Q161" s="77"/>
      <c r="R161" s="77"/>
      <c r="S161" s="77"/>
      <c r="T161" s="77"/>
      <c r="U161" s="77"/>
      <c r="V161" s="77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77"/>
      <c r="Q162" s="77"/>
      <c r="R162" s="77"/>
      <c r="S162" s="77"/>
      <c r="T162" s="77"/>
      <c r="U162" s="77"/>
      <c r="V162" s="77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77"/>
      <c r="Q163" s="77"/>
      <c r="R163" s="77"/>
      <c r="S163" s="77"/>
      <c r="T163" s="77"/>
      <c r="U163" s="77"/>
      <c r="V163" s="77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77"/>
      <c r="Q164" s="77"/>
      <c r="R164" s="77"/>
      <c r="S164" s="77"/>
      <c r="T164" s="77"/>
      <c r="U164" s="77"/>
      <c r="V164" s="77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77"/>
      <c r="Q165" s="77"/>
      <c r="R165" s="77"/>
      <c r="S165" s="77"/>
      <c r="T165" s="77"/>
      <c r="U165" s="77"/>
      <c r="V165" s="77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77"/>
      <c r="Q166" s="77"/>
      <c r="R166" s="77"/>
      <c r="S166" s="77"/>
      <c r="T166" s="77"/>
      <c r="U166" s="77"/>
      <c r="V166" s="77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77"/>
      <c r="Q167" s="77"/>
      <c r="R167" s="77"/>
      <c r="S167" s="77"/>
      <c r="T167" s="77"/>
      <c r="U167" s="77"/>
      <c r="V167" s="77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77"/>
      <c r="Q168" s="77"/>
      <c r="R168" s="77"/>
      <c r="S168" s="77"/>
      <c r="T168" s="77"/>
      <c r="U168" s="77"/>
      <c r="V168" s="77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77"/>
      <c r="Q169" s="77"/>
      <c r="R169" s="77"/>
      <c r="S169" s="77"/>
      <c r="T169" s="77"/>
      <c r="U169" s="77"/>
      <c r="V169" s="77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77"/>
      <c r="Q170" s="77"/>
      <c r="R170" s="77"/>
      <c r="S170" s="77"/>
      <c r="T170" s="77"/>
      <c r="U170" s="77"/>
      <c r="V170" s="77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77"/>
      <c r="Q171" s="77"/>
      <c r="R171" s="77"/>
      <c r="S171" s="77"/>
      <c r="T171" s="77"/>
      <c r="U171" s="77"/>
      <c r="V171" s="77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77"/>
      <c r="Q172" s="77"/>
      <c r="R172" s="77"/>
      <c r="S172" s="77"/>
      <c r="T172" s="77"/>
      <c r="U172" s="77"/>
      <c r="V172" s="77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77"/>
      <c r="Q173" s="77"/>
      <c r="R173" s="77"/>
      <c r="S173" s="77"/>
      <c r="T173" s="77"/>
      <c r="U173" s="77"/>
      <c r="V173" s="77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77"/>
      <c r="Q174" s="77"/>
      <c r="R174" s="77"/>
      <c r="S174" s="77"/>
      <c r="T174" s="77"/>
      <c r="U174" s="77"/>
      <c r="V174" s="77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77"/>
      <c r="Q175" s="77"/>
      <c r="R175" s="77"/>
      <c r="S175" s="77"/>
      <c r="T175" s="77"/>
      <c r="U175" s="77"/>
      <c r="V175" s="77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77"/>
      <c r="Q176" s="77"/>
      <c r="R176" s="77"/>
      <c r="S176" s="77"/>
      <c r="T176" s="77"/>
      <c r="U176" s="77"/>
      <c r="V176" s="77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77"/>
      <c r="Q177" s="77"/>
      <c r="R177" s="77"/>
      <c r="S177" s="77"/>
      <c r="T177" s="77"/>
      <c r="U177" s="77"/>
      <c r="V177" s="77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77"/>
      <c r="Q178" s="77"/>
      <c r="R178" s="77"/>
      <c r="S178" s="77"/>
      <c r="T178" s="77"/>
      <c r="U178" s="77"/>
      <c r="V178" s="77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77"/>
      <c r="Q179" s="77"/>
      <c r="R179" s="77"/>
      <c r="S179" s="77"/>
      <c r="T179" s="77"/>
      <c r="U179" s="77"/>
      <c r="V179" s="77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77"/>
      <c r="Q180" s="77"/>
      <c r="R180" s="77"/>
      <c r="S180" s="77"/>
      <c r="T180" s="77"/>
      <c r="U180" s="77"/>
      <c r="V180" s="77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77"/>
      <c r="Q181" s="77"/>
      <c r="R181" s="77"/>
      <c r="S181" s="77"/>
      <c r="T181" s="77"/>
      <c r="U181" s="77"/>
      <c r="V181" s="77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77"/>
      <c r="Q182" s="77"/>
      <c r="R182" s="77"/>
      <c r="S182" s="77"/>
      <c r="T182" s="77"/>
      <c r="U182" s="77"/>
      <c r="V182" s="77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77"/>
      <c r="Q183" s="77"/>
      <c r="R183" s="77"/>
      <c r="S183" s="77"/>
      <c r="T183" s="77"/>
      <c r="U183" s="77"/>
      <c r="V183" s="77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77"/>
      <c r="Q184" s="77"/>
      <c r="R184" s="77"/>
      <c r="S184" s="77"/>
      <c r="T184" s="77"/>
      <c r="U184" s="77"/>
      <c r="V184" s="77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77"/>
      <c r="Q185" s="77"/>
      <c r="R185" s="77"/>
      <c r="S185" s="77"/>
      <c r="T185" s="77"/>
      <c r="U185" s="77"/>
      <c r="V185" s="77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77"/>
      <c r="Q186" s="77"/>
      <c r="R186" s="77"/>
      <c r="S186" s="77"/>
      <c r="T186" s="77"/>
      <c r="U186" s="77"/>
      <c r="V186" s="77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77"/>
      <c r="Q187" s="77"/>
      <c r="R187" s="77"/>
      <c r="S187" s="77"/>
      <c r="T187" s="77"/>
      <c r="U187" s="77"/>
      <c r="V187" s="77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77"/>
      <c r="Q188" s="77"/>
      <c r="R188" s="77"/>
      <c r="S188" s="77"/>
      <c r="T188" s="77"/>
      <c r="U188" s="77"/>
      <c r="V188" s="77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77"/>
      <c r="Q189" s="77"/>
      <c r="R189" s="77"/>
      <c r="S189" s="77"/>
      <c r="T189" s="77"/>
      <c r="U189" s="77"/>
      <c r="V189" s="77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77"/>
      <c r="Q190" s="77"/>
      <c r="R190" s="77"/>
      <c r="S190" s="77"/>
      <c r="T190" s="77"/>
      <c r="U190" s="77"/>
      <c r="V190" s="77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77"/>
      <c r="Q191" s="77"/>
      <c r="R191" s="77"/>
      <c r="S191" s="77"/>
      <c r="T191" s="77"/>
      <c r="U191" s="77"/>
      <c r="V191" s="77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77"/>
      <c r="Q192" s="77"/>
      <c r="R192" s="77"/>
      <c r="S192" s="77"/>
      <c r="T192" s="77"/>
      <c r="U192" s="77"/>
      <c r="V192" s="77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77"/>
      <c r="Q193" s="77"/>
      <c r="R193" s="77"/>
      <c r="S193" s="77"/>
      <c r="T193" s="77"/>
      <c r="U193" s="77"/>
      <c r="V193" s="77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77"/>
      <c r="Q194" s="77"/>
      <c r="R194" s="77"/>
      <c r="S194" s="77"/>
      <c r="T194" s="77"/>
      <c r="U194" s="77"/>
      <c r="V194" s="77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77"/>
      <c r="Q195" s="77"/>
      <c r="R195" s="77"/>
      <c r="S195" s="77"/>
      <c r="T195" s="77"/>
      <c r="U195" s="77"/>
      <c r="V195" s="77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77"/>
      <c r="Q196" s="77"/>
      <c r="R196" s="77"/>
      <c r="S196" s="77"/>
      <c r="T196" s="77"/>
      <c r="U196" s="77"/>
      <c r="V196" s="77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77"/>
      <c r="Q197" s="77"/>
      <c r="R197" s="77"/>
      <c r="S197" s="77"/>
      <c r="T197" s="77"/>
      <c r="U197" s="77"/>
      <c r="V197" s="77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77"/>
      <c r="Q198" s="77"/>
      <c r="R198" s="77"/>
      <c r="S198" s="77"/>
      <c r="T198" s="77"/>
      <c r="U198" s="77"/>
      <c r="V198" s="77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77"/>
      <c r="Q199" s="77"/>
      <c r="R199" s="77"/>
      <c r="S199" s="77"/>
      <c r="T199" s="77"/>
      <c r="U199" s="77"/>
      <c r="V199" s="77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77"/>
      <c r="Q200" s="77"/>
      <c r="R200" s="77"/>
      <c r="S200" s="77"/>
      <c r="T200" s="77"/>
      <c r="U200" s="77"/>
      <c r="V200" s="77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77"/>
      <c r="Q201" s="77"/>
      <c r="R201" s="77"/>
      <c r="S201" s="77"/>
      <c r="T201" s="77"/>
      <c r="U201" s="77"/>
      <c r="V201" s="77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77"/>
      <c r="Q202" s="77"/>
      <c r="R202" s="77"/>
      <c r="S202" s="77"/>
      <c r="T202" s="77"/>
      <c r="U202" s="77"/>
      <c r="V202" s="77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77"/>
      <c r="Q203" s="77"/>
      <c r="R203" s="77"/>
      <c r="S203" s="77"/>
      <c r="T203" s="77"/>
      <c r="U203" s="77"/>
      <c r="V203" s="77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77"/>
      <c r="Q204" s="77"/>
      <c r="R204" s="77"/>
      <c r="S204" s="77"/>
      <c r="T204" s="77"/>
      <c r="U204" s="77"/>
      <c r="V204" s="77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77"/>
      <c r="Q205" s="77"/>
      <c r="R205" s="77"/>
      <c r="S205" s="77"/>
      <c r="T205" s="77"/>
      <c r="U205" s="77"/>
      <c r="V205" s="77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77"/>
      <c r="Q206" s="77"/>
      <c r="R206" s="77"/>
      <c r="S206" s="77"/>
      <c r="T206" s="77"/>
      <c r="U206" s="77"/>
      <c r="V206" s="77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77"/>
      <c r="Q207" s="77"/>
      <c r="R207" s="77"/>
      <c r="S207" s="77"/>
      <c r="T207" s="77"/>
      <c r="U207" s="77"/>
      <c r="V207" s="77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77"/>
      <c r="Q208" s="77"/>
      <c r="R208" s="77"/>
      <c r="S208" s="77"/>
      <c r="T208" s="77"/>
      <c r="U208" s="77"/>
      <c r="V208" s="77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77"/>
      <c r="Q209" s="77"/>
      <c r="R209" s="77"/>
      <c r="S209" s="77"/>
      <c r="T209" s="77"/>
      <c r="U209" s="77"/>
      <c r="V209" s="77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77"/>
      <c r="Q210" s="77"/>
      <c r="R210" s="77"/>
      <c r="S210" s="77"/>
      <c r="T210" s="77"/>
      <c r="U210" s="77"/>
      <c r="V210" s="77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77"/>
      <c r="Q211" s="77"/>
      <c r="R211" s="77"/>
      <c r="S211" s="77"/>
      <c r="T211" s="77"/>
      <c r="U211" s="77"/>
      <c r="V211" s="77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77"/>
      <c r="Q212" s="77"/>
      <c r="R212" s="77"/>
      <c r="S212" s="77"/>
      <c r="T212" s="77"/>
      <c r="U212" s="77"/>
      <c r="V212" s="77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77"/>
      <c r="Q213" s="77"/>
      <c r="R213" s="77"/>
      <c r="S213" s="77"/>
      <c r="T213" s="77"/>
      <c r="U213" s="77"/>
      <c r="V213" s="77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77"/>
      <c r="Q214" s="77"/>
      <c r="R214" s="77"/>
      <c r="S214" s="77"/>
      <c r="T214" s="77"/>
      <c r="U214" s="77"/>
      <c r="V214" s="77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77"/>
      <c r="Q215" s="77"/>
      <c r="R215" s="77"/>
      <c r="S215" s="77"/>
      <c r="T215" s="77"/>
      <c r="U215" s="77"/>
      <c r="V215" s="77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77"/>
      <c r="Q216" s="77"/>
      <c r="R216" s="77"/>
      <c r="S216" s="77"/>
      <c r="T216" s="77"/>
      <c r="U216" s="77"/>
      <c r="V216" s="77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77"/>
      <c r="Q217" s="77"/>
      <c r="R217" s="77"/>
      <c r="S217" s="77"/>
      <c r="T217" s="77"/>
      <c r="U217" s="77"/>
      <c r="V217" s="77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77"/>
      <c r="Q218" s="77"/>
      <c r="R218" s="77"/>
      <c r="S218" s="77"/>
      <c r="T218" s="77"/>
      <c r="U218" s="77"/>
      <c r="V218" s="77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77"/>
      <c r="Q219" s="77"/>
      <c r="R219" s="77"/>
      <c r="S219" s="77"/>
      <c r="T219" s="77"/>
      <c r="U219" s="77"/>
      <c r="V219" s="77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77"/>
      <c r="Q220" s="77"/>
      <c r="R220" s="77"/>
      <c r="S220" s="77"/>
      <c r="T220" s="77"/>
      <c r="U220" s="77"/>
      <c r="V220" s="77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77"/>
      <c r="Q221" s="77"/>
      <c r="R221" s="77"/>
      <c r="S221" s="77"/>
      <c r="T221" s="77"/>
      <c r="U221" s="77"/>
      <c r="V221" s="77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77"/>
      <c r="Q222" s="77"/>
      <c r="R222" s="77"/>
      <c r="S222" s="77"/>
      <c r="T222" s="77"/>
      <c r="U222" s="77"/>
      <c r="V222" s="77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77"/>
      <c r="Q223" s="77"/>
      <c r="R223" s="77"/>
      <c r="S223" s="77"/>
      <c r="T223" s="77"/>
      <c r="U223" s="77"/>
      <c r="V223" s="77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77"/>
      <c r="Q224" s="77"/>
      <c r="R224" s="77"/>
      <c r="S224" s="77"/>
      <c r="T224" s="77"/>
      <c r="U224" s="77"/>
      <c r="V224" s="77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77"/>
      <c r="Q225" s="77"/>
      <c r="R225" s="77"/>
      <c r="S225" s="77"/>
      <c r="T225" s="77"/>
      <c r="U225" s="77"/>
      <c r="V225" s="77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77"/>
      <c r="Q226" s="77"/>
      <c r="R226" s="77"/>
      <c r="S226" s="77"/>
      <c r="T226" s="77"/>
      <c r="U226" s="77"/>
      <c r="V226" s="77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77"/>
      <c r="Q227" s="77"/>
      <c r="R227" s="77"/>
      <c r="S227" s="77"/>
      <c r="T227" s="77"/>
      <c r="U227" s="77"/>
      <c r="V227" s="77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77"/>
      <c r="Q228" s="77"/>
      <c r="R228" s="77"/>
      <c r="S228" s="77"/>
      <c r="T228" s="77"/>
      <c r="U228" s="77"/>
      <c r="V228" s="77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77"/>
      <c r="Q229" s="77"/>
      <c r="R229" s="77"/>
      <c r="S229" s="77"/>
      <c r="T229" s="77"/>
      <c r="U229" s="77"/>
      <c r="V229" s="77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77"/>
      <c r="Q230" s="77"/>
      <c r="R230" s="77"/>
      <c r="S230" s="77"/>
      <c r="T230" s="77"/>
      <c r="U230" s="77"/>
      <c r="V230" s="77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77"/>
      <c r="Q231" s="77"/>
      <c r="R231" s="77"/>
      <c r="S231" s="77"/>
      <c r="T231" s="77"/>
      <c r="U231" s="77"/>
      <c r="V231" s="77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77"/>
      <c r="Q232" s="77"/>
      <c r="R232" s="77"/>
      <c r="S232" s="77"/>
      <c r="T232" s="77"/>
      <c r="U232" s="77"/>
      <c r="V232" s="77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77"/>
      <c r="Q233" s="77"/>
      <c r="R233" s="77"/>
      <c r="S233" s="77"/>
      <c r="T233" s="77"/>
      <c r="U233" s="77"/>
      <c r="V233" s="77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77"/>
      <c r="Q234" s="77"/>
      <c r="R234" s="77"/>
      <c r="S234" s="77"/>
      <c r="T234" s="77"/>
      <c r="U234" s="77"/>
      <c r="V234" s="77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77"/>
      <c r="Q235" s="77"/>
      <c r="R235" s="77"/>
      <c r="S235" s="77"/>
      <c r="T235" s="77"/>
      <c r="U235" s="77"/>
      <c r="V235" s="77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77"/>
      <c r="Q236" s="77"/>
      <c r="R236" s="77"/>
      <c r="S236" s="77"/>
      <c r="T236" s="77"/>
      <c r="U236" s="77"/>
      <c r="V236" s="77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77"/>
      <c r="Q237" s="77"/>
      <c r="R237" s="77"/>
      <c r="S237" s="77"/>
      <c r="T237" s="77"/>
      <c r="U237" s="77"/>
      <c r="V237" s="77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77"/>
      <c r="Q238" s="77"/>
      <c r="R238" s="77"/>
      <c r="S238" s="77"/>
      <c r="T238" s="77"/>
      <c r="U238" s="77"/>
      <c r="V238" s="77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77"/>
      <c r="Q239" s="77"/>
      <c r="R239" s="77"/>
      <c r="S239" s="77"/>
      <c r="T239" s="77"/>
      <c r="U239" s="77"/>
      <c r="V239" s="77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77"/>
      <c r="Q240" s="77"/>
      <c r="R240" s="77"/>
      <c r="S240" s="77"/>
      <c r="T240" s="77"/>
      <c r="U240" s="77"/>
      <c r="V240" s="77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77"/>
      <c r="Q241" s="77"/>
      <c r="R241" s="77"/>
      <c r="S241" s="77"/>
      <c r="T241" s="77"/>
      <c r="U241" s="77"/>
      <c r="V241" s="77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77"/>
      <c r="Q242" s="77"/>
      <c r="R242" s="77"/>
      <c r="S242" s="77"/>
      <c r="T242" s="77"/>
      <c r="U242" s="77"/>
      <c r="V242" s="77"/>
      <c r="W242" s="12"/>
      <c r="X242" s="12"/>
      <c r="Y242" s="12"/>
      <c r="Z242" s="12"/>
    </row>
    <row r="243" ht="15.75" customHeight="1">
      <c r="P243" s="78"/>
      <c r="Q243" s="78"/>
      <c r="R243" s="78"/>
      <c r="S243" s="78"/>
      <c r="T243" s="78"/>
      <c r="U243" s="78"/>
      <c r="V243" s="78"/>
    </row>
    <row r="244" ht="15.75" customHeight="1">
      <c r="P244" s="78"/>
      <c r="Q244" s="78"/>
      <c r="R244" s="78"/>
      <c r="S244" s="78"/>
      <c r="T244" s="78"/>
      <c r="U244" s="78"/>
      <c r="V244" s="78"/>
    </row>
    <row r="245" ht="15.75" customHeight="1">
      <c r="P245" s="78"/>
      <c r="Q245" s="78"/>
      <c r="R245" s="78"/>
      <c r="S245" s="78"/>
      <c r="T245" s="78"/>
      <c r="U245" s="78"/>
      <c r="V245" s="78"/>
    </row>
    <row r="246" ht="15.75" customHeight="1">
      <c r="P246" s="78"/>
      <c r="Q246" s="78"/>
      <c r="R246" s="78"/>
      <c r="S246" s="78"/>
      <c r="T246" s="78"/>
      <c r="U246" s="78"/>
      <c r="V246" s="78"/>
    </row>
    <row r="247" ht="15.75" customHeight="1">
      <c r="P247" s="78"/>
      <c r="Q247" s="78"/>
      <c r="R247" s="78"/>
      <c r="S247" s="78"/>
      <c r="T247" s="78"/>
      <c r="U247" s="78"/>
      <c r="V247" s="78"/>
    </row>
    <row r="248" ht="15.75" customHeight="1">
      <c r="P248" s="78"/>
      <c r="Q248" s="78"/>
      <c r="R248" s="78"/>
      <c r="S248" s="78"/>
      <c r="T248" s="78"/>
      <c r="U248" s="78"/>
      <c r="V248" s="78"/>
    </row>
    <row r="249" ht="15.75" customHeight="1">
      <c r="P249" s="78"/>
      <c r="Q249" s="78"/>
      <c r="R249" s="78"/>
      <c r="S249" s="78"/>
      <c r="T249" s="78"/>
      <c r="U249" s="78"/>
      <c r="V249" s="78"/>
    </row>
    <row r="250" ht="15.75" customHeight="1">
      <c r="P250" s="78"/>
      <c r="Q250" s="78"/>
      <c r="R250" s="78"/>
      <c r="S250" s="78"/>
      <c r="T250" s="78"/>
      <c r="U250" s="78"/>
      <c r="V250" s="78"/>
    </row>
    <row r="251" ht="15.75" customHeight="1">
      <c r="P251" s="78"/>
      <c r="Q251" s="78"/>
      <c r="R251" s="78"/>
      <c r="S251" s="78"/>
      <c r="T251" s="78"/>
      <c r="U251" s="78"/>
      <c r="V251" s="78"/>
    </row>
    <row r="252" ht="15.75" customHeight="1">
      <c r="P252" s="78"/>
      <c r="Q252" s="78"/>
      <c r="R252" s="78"/>
      <c r="S252" s="78"/>
      <c r="T252" s="78"/>
      <c r="U252" s="78"/>
      <c r="V252" s="78"/>
    </row>
    <row r="253" ht="15.75" customHeight="1">
      <c r="P253" s="78"/>
      <c r="Q253" s="78"/>
      <c r="R253" s="78"/>
      <c r="S253" s="78"/>
      <c r="T253" s="78"/>
      <c r="U253" s="78"/>
      <c r="V253" s="78"/>
    </row>
    <row r="254" ht="15.75" customHeight="1">
      <c r="P254" s="78"/>
      <c r="Q254" s="78"/>
      <c r="R254" s="78"/>
      <c r="S254" s="78"/>
      <c r="T254" s="78"/>
      <c r="U254" s="78"/>
      <c r="V254" s="78"/>
    </row>
    <row r="255" ht="15.75" customHeight="1">
      <c r="P255" s="78"/>
      <c r="Q255" s="78"/>
      <c r="R255" s="78"/>
      <c r="S255" s="78"/>
      <c r="T255" s="78"/>
      <c r="U255" s="78"/>
      <c r="V255" s="78"/>
    </row>
    <row r="256" ht="15.75" customHeight="1">
      <c r="P256" s="78"/>
      <c r="Q256" s="78"/>
      <c r="R256" s="78"/>
      <c r="S256" s="78"/>
      <c r="T256" s="78"/>
      <c r="U256" s="78"/>
      <c r="V256" s="78"/>
    </row>
    <row r="257" ht="15.75" customHeight="1">
      <c r="P257" s="78"/>
      <c r="Q257" s="78"/>
      <c r="R257" s="78"/>
      <c r="S257" s="78"/>
      <c r="T257" s="78"/>
      <c r="U257" s="78"/>
      <c r="V257" s="78"/>
    </row>
    <row r="258" ht="15.75" customHeight="1">
      <c r="P258" s="78"/>
      <c r="Q258" s="78"/>
      <c r="R258" s="78"/>
      <c r="S258" s="78"/>
      <c r="T258" s="78"/>
      <c r="U258" s="78"/>
      <c r="V258" s="78"/>
    </row>
    <row r="259" ht="15.75" customHeight="1">
      <c r="P259" s="78"/>
      <c r="Q259" s="78"/>
      <c r="R259" s="78"/>
      <c r="S259" s="78"/>
      <c r="T259" s="78"/>
      <c r="U259" s="78"/>
      <c r="V259" s="78"/>
    </row>
    <row r="260" ht="15.75" customHeight="1">
      <c r="P260" s="78"/>
      <c r="Q260" s="78"/>
      <c r="R260" s="78"/>
      <c r="S260" s="78"/>
      <c r="T260" s="78"/>
      <c r="U260" s="78"/>
      <c r="V260" s="78"/>
    </row>
    <row r="261" ht="15.75" customHeight="1">
      <c r="P261" s="78"/>
      <c r="Q261" s="78"/>
      <c r="R261" s="78"/>
      <c r="S261" s="78"/>
      <c r="T261" s="78"/>
      <c r="U261" s="78"/>
      <c r="V261" s="78"/>
    </row>
    <row r="262" ht="15.75" customHeight="1">
      <c r="P262" s="78"/>
      <c r="Q262" s="78"/>
      <c r="R262" s="78"/>
      <c r="S262" s="78"/>
      <c r="T262" s="78"/>
      <c r="U262" s="78"/>
      <c r="V262" s="78"/>
    </row>
    <row r="263" ht="15.75" customHeight="1">
      <c r="P263" s="78"/>
      <c r="Q263" s="78"/>
      <c r="R263" s="78"/>
      <c r="S263" s="78"/>
      <c r="T263" s="78"/>
      <c r="U263" s="78"/>
      <c r="V263" s="78"/>
    </row>
    <row r="264" ht="15.75" customHeight="1">
      <c r="P264" s="78"/>
      <c r="Q264" s="78"/>
      <c r="R264" s="78"/>
      <c r="S264" s="78"/>
      <c r="T264" s="78"/>
      <c r="U264" s="78"/>
      <c r="V264" s="78"/>
    </row>
    <row r="265" ht="15.75" customHeight="1">
      <c r="P265" s="78"/>
      <c r="Q265" s="78"/>
      <c r="R265" s="78"/>
      <c r="S265" s="78"/>
      <c r="T265" s="78"/>
      <c r="U265" s="78"/>
      <c r="V265" s="78"/>
    </row>
    <row r="266" ht="15.75" customHeight="1">
      <c r="P266" s="78"/>
      <c r="Q266" s="78"/>
      <c r="R266" s="78"/>
      <c r="S266" s="78"/>
      <c r="T266" s="78"/>
      <c r="U266" s="78"/>
      <c r="V266" s="78"/>
    </row>
    <row r="267" ht="15.75" customHeight="1">
      <c r="P267" s="78"/>
      <c r="Q267" s="78"/>
      <c r="R267" s="78"/>
      <c r="S267" s="78"/>
      <c r="T267" s="78"/>
      <c r="U267" s="78"/>
      <c r="V267" s="78"/>
    </row>
    <row r="268" ht="15.75" customHeight="1">
      <c r="P268" s="78"/>
      <c r="Q268" s="78"/>
      <c r="R268" s="78"/>
      <c r="S268" s="78"/>
      <c r="T268" s="78"/>
      <c r="U268" s="78"/>
      <c r="V268" s="78"/>
    </row>
    <row r="269" ht="15.75" customHeight="1">
      <c r="P269" s="78"/>
      <c r="Q269" s="78"/>
      <c r="R269" s="78"/>
      <c r="S269" s="78"/>
      <c r="T269" s="78"/>
      <c r="U269" s="78"/>
      <c r="V269" s="78"/>
    </row>
    <row r="270" ht="15.75" customHeight="1">
      <c r="P270" s="78"/>
      <c r="Q270" s="78"/>
      <c r="R270" s="78"/>
      <c r="S270" s="78"/>
      <c r="T270" s="78"/>
      <c r="U270" s="78"/>
      <c r="V270" s="78"/>
    </row>
    <row r="271" ht="15.75" customHeight="1">
      <c r="P271" s="78"/>
      <c r="Q271" s="78"/>
      <c r="R271" s="78"/>
      <c r="S271" s="78"/>
      <c r="T271" s="78"/>
      <c r="U271" s="78"/>
      <c r="V271" s="78"/>
    </row>
    <row r="272" ht="15.75" customHeight="1">
      <c r="P272" s="78"/>
      <c r="Q272" s="78"/>
      <c r="R272" s="78"/>
      <c r="S272" s="78"/>
      <c r="T272" s="78"/>
      <c r="U272" s="78"/>
      <c r="V272" s="78"/>
    </row>
    <row r="273" ht="15.75" customHeight="1">
      <c r="P273" s="78"/>
      <c r="Q273" s="78"/>
      <c r="R273" s="78"/>
      <c r="S273" s="78"/>
      <c r="T273" s="78"/>
      <c r="U273" s="78"/>
      <c r="V273" s="78"/>
    </row>
    <row r="274" ht="15.75" customHeight="1">
      <c r="P274" s="78"/>
      <c r="Q274" s="78"/>
      <c r="R274" s="78"/>
      <c r="S274" s="78"/>
      <c r="T274" s="78"/>
      <c r="U274" s="78"/>
      <c r="V274" s="78"/>
    </row>
    <row r="275" ht="15.75" customHeight="1">
      <c r="P275" s="78"/>
      <c r="Q275" s="78"/>
      <c r="R275" s="78"/>
      <c r="S275" s="78"/>
      <c r="T275" s="78"/>
      <c r="U275" s="78"/>
      <c r="V275" s="78"/>
    </row>
    <row r="276" ht="15.75" customHeight="1">
      <c r="P276" s="78"/>
      <c r="Q276" s="78"/>
      <c r="R276" s="78"/>
      <c r="S276" s="78"/>
      <c r="T276" s="78"/>
      <c r="U276" s="78"/>
      <c r="V276" s="78"/>
    </row>
    <row r="277" ht="15.75" customHeight="1">
      <c r="P277" s="78"/>
      <c r="Q277" s="78"/>
      <c r="R277" s="78"/>
      <c r="S277" s="78"/>
      <c r="T277" s="78"/>
      <c r="U277" s="78"/>
      <c r="V277" s="78"/>
    </row>
    <row r="278" ht="15.75" customHeight="1">
      <c r="P278" s="78"/>
      <c r="Q278" s="78"/>
      <c r="R278" s="78"/>
      <c r="S278" s="78"/>
      <c r="T278" s="78"/>
      <c r="U278" s="78"/>
      <c r="V278" s="78"/>
    </row>
    <row r="279" ht="15.75" customHeight="1">
      <c r="P279" s="78"/>
      <c r="Q279" s="78"/>
      <c r="R279" s="78"/>
      <c r="S279" s="78"/>
      <c r="T279" s="78"/>
      <c r="U279" s="78"/>
      <c r="V279" s="78"/>
    </row>
    <row r="280" ht="15.75" customHeight="1">
      <c r="P280" s="78"/>
      <c r="Q280" s="78"/>
      <c r="R280" s="78"/>
      <c r="S280" s="78"/>
      <c r="T280" s="78"/>
      <c r="U280" s="78"/>
      <c r="V280" s="78"/>
    </row>
    <row r="281" ht="15.75" customHeight="1">
      <c r="P281" s="78"/>
      <c r="Q281" s="78"/>
      <c r="R281" s="78"/>
      <c r="S281" s="78"/>
      <c r="T281" s="78"/>
      <c r="U281" s="78"/>
      <c r="V281" s="78"/>
    </row>
    <row r="282" ht="15.75" customHeight="1">
      <c r="P282" s="78"/>
      <c r="Q282" s="78"/>
      <c r="R282" s="78"/>
      <c r="S282" s="78"/>
      <c r="T282" s="78"/>
      <c r="U282" s="78"/>
      <c r="V282" s="78"/>
    </row>
    <row r="283" ht="15.75" customHeight="1">
      <c r="P283" s="78"/>
      <c r="Q283" s="78"/>
      <c r="R283" s="78"/>
      <c r="S283" s="78"/>
      <c r="T283" s="78"/>
      <c r="U283" s="78"/>
      <c r="V283" s="78"/>
    </row>
    <row r="284" ht="15.75" customHeight="1">
      <c r="P284" s="78"/>
      <c r="Q284" s="78"/>
      <c r="R284" s="78"/>
      <c r="S284" s="78"/>
      <c r="T284" s="78"/>
      <c r="U284" s="78"/>
      <c r="V284" s="78"/>
    </row>
    <row r="285" ht="15.75" customHeight="1">
      <c r="P285" s="78"/>
      <c r="Q285" s="78"/>
      <c r="R285" s="78"/>
      <c r="S285" s="78"/>
      <c r="T285" s="78"/>
      <c r="U285" s="78"/>
      <c r="V285" s="78"/>
    </row>
    <row r="286" ht="15.75" customHeight="1">
      <c r="P286" s="78"/>
      <c r="Q286" s="78"/>
      <c r="R286" s="78"/>
      <c r="S286" s="78"/>
      <c r="T286" s="78"/>
      <c r="U286" s="78"/>
      <c r="V286" s="78"/>
    </row>
    <row r="287" ht="15.75" customHeight="1">
      <c r="P287" s="78"/>
      <c r="Q287" s="78"/>
      <c r="R287" s="78"/>
      <c r="S287" s="78"/>
      <c r="T287" s="78"/>
      <c r="U287" s="78"/>
      <c r="V287" s="78"/>
    </row>
    <row r="288" ht="15.75" customHeight="1">
      <c r="P288" s="78"/>
      <c r="Q288" s="78"/>
      <c r="R288" s="78"/>
      <c r="S288" s="78"/>
      <c r="T288" s="78"/>
      <c r="U288" s="78"/>
      <c r="V288" s="78"/>
    </row>
    <row r="289" ht="15.75" customHeight="1">
      <c r="P289" s="78"/>
      <c r="Q289" s="78"/>
      <c r="R289" s="78"/>
      <c r="S289" s="78"/>
      <c r="T289" s="78"/>
      <c r="U289" s="78"/>
      <c r="V289" s="78"/>
    </row>
    <row r="290" ht="15.75" customHeight="1">
      <c r="P290" s="78"/>
      <c r="Q290" s="78"/>
      <c r="R290" s="78"/>
      <c r="S290" s="78"/>
      <c r="T290" s="78"/>
      <c r="U290" s="78"/>
      <c r="V290" s="78"/>
    </row>
    <row r="291" ht="15.75" customHeight="1">
      <c r="P291" s="78"/>
      <c r="Q291" s="78"/>
      <c r="R291" s="78"/>
      <c r="S291" s="78"/>
      <c r="T291" s="78"/>
      <c r="U291" s="78"/>
      <c r="V291" s="78"/>
    </row>
    <row r="292" ht="15.75" customHeight="1">
      <c r="P292" s="78"/>
      <c r="Q292" s="78"/>
      <c r="R292" s="78"/>
      <c r="S292" s="78"/>
      <c r="T292" s="78"/>
      <c r="U292" s="78"/>
      <c r="V292" s="78"/>
    </row>
    <row r="293" ht="15.75" customHeight="1">
      <c r="P293" s="78"/>
      <c r="Q293" s="78"/>
      <c r="R293" s="78"/>
      <c r="S293" s="78"/>
      <c r="T293" s="78"/>
      <c r="U293" s="78"/>
      <c r="V293" s="78"/>
    </row>
    <row r="294" ht="15.75" customHeight="1">
      <c r="P294" s="78"/>
      <c r="Q294" s="78"/>
      <c r="R294" s="78"/>
      <c r="S294" s="78"/>
      <c r="T294" s="78"/>
      <c r="U294" s="78"/>
      <c r="V294" s="78"/>
    </row>
    <row r="295" ht="15.75" customHeight="1">
      <c r="P295" s="78"/>
      <c r="Q295" s="78"/>
      <c r="R295" s="78"/>
      <c r="S295" s="78"/>
      <c r="T295" s="78"/>
      <c r="U295" s="78"/>
      <c r="V295" s="78"/>
    </row>
    <row r="296" ht="15.75" customHeight="1">
      <c r="P296" s="78"/>
      <c r="Q296" s="78"/>
      <c r="R296" s="78"/>
      <c r="S296" s="78"/>
      <c r="T296" s="78"/>
      <c r="U296" s="78"/>
      <c r="V296" s="78"/>
    </row>
    <row r="297" ht="15.75" customHeight="1">
      <c r="P297" s="78"/>
      <c r="Q297" s="78"/>
      <c r="R297" s="78"/>
      <c r="S297" s="78"/>
      <c r="T297" s="78"/>
      <c r="U297" s="78"/>
      <c r="V297" s="78"/>
    </row>
    <row r="298" ht="15.75" customHeight="1">
      <c r="P298" s="78"/>
      <c r="Q298" s="78"/>
      <c r="R298" s="78"/>
      <c r="S298" s="78"/>
      <c r="T298" s="78"/>
      <c r="U298" s="78"/>
      <c r="V298" s="78"/>
    </row>
    <row r="299" ht="15.75" customHeight="1">
      <c r="P299" s="78"/>
      <c r="Q299" s="78"/>
      <c r="R299" s="78"/>
      <c r="S299" s="78"/>
      <c r="T299" s="78"/>
      <c r="U299" s="78"/>
      <c r="V299" s="78"/>
    </row>
    <row r="300" ht="15.75" customHeight="1">
      <c r="P300" s="78"/>
      <c r="Q300" s="78"/>
      <c r="R300" s="78"/>
      <c r="S300" s="78"/>
      <c r="T300" s="78"/>
      <c r="U300" s="78"/>
      <c r="V300" s="78"/>
    </row>
    <row r="301" ht="15.75" customHeight="1">
      <c r="P301" s="78"/>
      <c r="Q301" s="78"/>
      <c r="R301" s="78"/>
      <c r="S301" s="78"/>
      <c r="T301" s="78"/>
      <c r="U301" s="78"/>
      <c r="V301" s="78"/>
    </row>
    <row r="302" ht="15.75" customHeight="1">
      <c r="P302" s="78"/>
      <c r="Q302" s="78"/>
      <c r="R302" s="78"/>
      <c r="S302" s="78"/>
      <c r="T302" s="78"/>
      <c r="U302" s="78"/>
      <c r="V302" s="78"/>
    </row>
    <row r="303" ht="15.75" customHeight="1">
      <c r="P303" s="78"/>
      <c r="Q303" s="78"/>
      <c r="R303" s="78"/>
      <c r="S303" s="78"/>
      <c r="T303" s="78"/>
      <c r="U303" s="78"/>
      <c r="V303" s="78"/>
    </row>
    <row r="304" ht="15.75" customHeight="1">
      <c r="P304" s="78"/>
      <c r="Q304" s="78"/>
      <c r="R304" s="78"/>
      <c r="S304" s="78"/>
      <c r="T304" s="78"/>
      <c r="U304" s="78"/>
      <c r="V304" s="78"/>
    </row>
    <row r="305" ht="15.75" customHeight="1">
      <c r="P305" s="78"/>
      <c r="Q305" s="78"/>
      <c r="R305" s="78"/>
      <c r="S305" s="78"/>
      <c r="T305" s="78"/>
      <c r="U305" s="78"/>
      <c r="V305" s="78"/>
    </row>
    <row r="306" ht="15.75" customHeight="1">
      <c r="P306" s="78"/>
      <c r="Q306" s="78"/>
      <c r="R306" s="78"/>
      <c r="S306" s="78"/>
      <c r="T306" s="78"/>
      <c r="U306" s="78"/>
      <c r="V306" s="78"/>
    </row>
    <row r="307" ht="15.75" customHeight="1">
      <c r="P307" s="78"/>
      <c r="Q307" s="78"/>
      <c r="R307" s="78"/>
      <c r="S307" s="78"/>
      <c r="T307" s="78"/>
      <c r="U307" s="78"/>
      <c r="V307" s="78"/>
    </row>
    <row r="308" ht="15.75" customHeight="1">
      <c r="P308" s="78"/>
      <c r="Q308" s="78"/>
      <c r="R308" s="78"/>
      <c r="S308" s="78"/>
      <c r="T308" s="78"/>
      <c r="U308" s="78"/>
      <c r="V308" s="78"/>
    </row>
    <row r="309" ht="15.75" customHeight="1">
      <c r="P309" s="78"/>
      <c r="Q309" s="78"/>
      <c r="R309" s="78"/>
      <c r="S309" s="78"/>
      <c r="T309" s="78"/>
      <c r="U309" s="78"/>
      <c r="V309" s="78"/>
    </row>
    <row r="310" ht="15.75" customHeight="1">
      <c r="P310" s="78"/>
      <c r="Q310" s="78"/>
      <c r="R310" s="78"/>
      <c r="S310" s="78"/>
      <c r="T310" s="78"/>
      <c r="U310" s="78"/>
      <c r="V310" s="78"/>
    </row>
    <row r="311" ht="15.75" customHeight="1">
      <c r="P311" s="78"/>
      <c r="Q311" s="78"/>
      <c r="R311" s="78"/>
      <c r="S311" s="78"/>
      <c r="T311" s="78"/>
      <c r="U311" s="78"/>
      <c r="V311" s="78"/>
    </row>
    <row r="312" ht="15.75" customHeight="1">
      <c r="P312" s="78"/>
      <c r="Q312" s="78"/>
      <c r="R312" s="78"/>
      <c r="S312" s="78"/>
      <c r="T312" s="78"/>
      <c r="U312" s="78"/>
      <c r="V312" s="78"/>
    </row>
    <row r="313" ht="15.75" customHeight="1">
      <c r="P313" s="78"/>
      <c r="Q313" s="78"/>
      <c r="R313" s="78"/>
      <c r="S313" s="78"/>
      <c r="T313" s="78"/>
      <c r="U313" s="78"/>
      <c r="V313" s="78"/>
    </row>
    <row r="314" ht="15.75" customHeight="1">
      <c r="P314" s="78"/>
      <c r="Q314" s="78"/>
      <c r="R314" s="78"/>
      <c r="S314" s="78"/>
      <c r="T314" s="78"/>
      <c r="U314" s="78"/>
      <c r="V314" s="78"/>
    </row>
    <row r="315" ht="15.75" customHeight="1">
      <c r="P315" s="78"/>
      <c r="Q315" s="78"/>
      <c r="R315" s="78"/>
      <c r="S315" s="78"/>
      <c r="T315" s="78"/>
      <c r="U315" s="78"/>
      <c r="V315" s="78"/>
    </row>
    <row r="316" ht="15.75" customHeight="1">
      <c r="P316" s="78"/>
      <c r="Q316" s="78"/>
      <c r="R316" s="78"/>
      <c r="S316" s="78"/>
      <c r="T316" s="78"/>
      <c r="U316" s="78"/>
      <c r="V316" s="78"/>
    </row>
    <row r="317" ht="15.75" customHeight="1">
      <c r="P317" s="78"/>
      <c r="Q317" s="78"/>
      <c r="R317" s="78"/>
      <c r="S317" s="78"/>
      <c r="T317" s="78"/>
      <c r="U317" s="78"/>
      <c r="V317" s="78"/>
    </row>
    <row r="318" ht="15.75" customHeight="1">
      <c r="P318" s="78"/>
      <c r="Q318" s="78"/>
      <c r="R318" s="78"/>
      <c r="S318" s="78"/>
      <c r="T318" s="78"/>
      <c r="U318" s="78"/>
      <c r="V318" s="78"/>
    </row>
    <row r="319" ht="15.75" customHeight="1">
      <c r="P319" s="78"/>
      <c r="Q319" s="78"/>
      <c r="R319" s="78"/>
      <c r="S319" s="78"/>
      <c r="T319" s="78"/>
      <c r="U319" s="78"/>
      <c r="V319" s="78"/>
    </row>
    <row r="320" ht="15.75" customHeight="1">
      <c r="P320" s="78"/>
      <c r="Q320" s="78"/>
      <c r="R320" s="78"/>
      <c r="S320" s="78"/>
      <c r="T320" s="78"/>
      <c r="U320" s="78"/>
      <c r="V320" s="78"/>
    </row>
    <row r="321" ht="15.75" customHeight="1">
      <c r="P321" s="78"/>
      <c r="Q321" s="78"/>
      <c r="R321" s="78"/>
      <c r="S321" s="78"/>
      <c r="T321" s="78"/>
      <c r="U321" s="78"/>
      <c r="V321" s="78"/>
    </row>
    <row r="322" ht="15.75" customHeight="1">
      <c r="P322" s="78"/>
      <c r="Q322" s="78"/>
      <c r="R322" s="78"/>
      <c r="S322" s="78"/>
      <c r="T322" s="78"/>
      <c r="U322" s="78"/>
      <c r="V322" s="78"/>
    </row>
    <row r="323" ht="15.75" customHeight="1">
      <c r="P323" s="78"/>
      <c r="Q323" s="78"/>
      <c r="R323" s="78"/>
      <c r="S323" s="78"/>
      <c r="T323" s="78"/>
      <c r="U323" s="78"/>
      <c r="V323" s="78"/>
    </row>
    <row r="324" ht="15.75" customHeight="1">
      <c r="P324" s="78"/>
      <c r="Q324" s="78"/>
      <c r="R324" s="78"/>
      <c r="S324" s="78"/>
      <c r="T324" s="78"/>
      <c r="U324" s="78"/>
      <c r="V324" s="78"/>
    </row>
    <row r="325" ht="15.75" customHeight="1">
      <c r="P325" s="78"/>
      <c r="Q325" s="78"/>
      <c r="R325" s="78"/>
      <c r="S325" s="78"/>
      <c r="T325" s="78"/>
      <c r="U325" s="78"/>
      <c r="V325" s="78"/>
    </row>
    <row r="326" ht="15.75" customHeight="1">
      <c r="P326" s="78"/>
      <c r="Q326" s="78"/>
      <c r="R326" s="78"/>
      <c r="S326" s="78"/>
      <c r="T326" s="78"/>
      <c r="U326" s="78"/>
      <c r="V326" s="78"/>
    </row>
    <row r="327" ht="15.75" customHeight="1">
      <c r="P327" s="78"/>
      <c r="Q327" s="78"/>
      <c r="R327" s="78"/>
      <c r="S327" s="78"/>
      <c r="T327" s="78"/>
      <c r="U327" s="78"/>
      <c r="V327" s="78"/>
    </row>
    <row r="328" ht="15.75" customHeight="1">
      <c r="P328" s="78"/>
      <c r="Q328" s="78"/>
      <c r="R328" s="78"/>
      <c r="S328" s="78"/>
      <c r="T328" s="78"/>
      <c r="U328" s="78"/>
      <c r="V328" s="78"/>
    </row>
    <row r="329" ht="15.75" customHeight="1">
      <c r="P329" s="78"/>
      <c r="Q329" s="78"/>
      <c r="R329" s="78"/>
      <c r="S329" s="78"/>
      <c r="T329" s="78"/>
      <c r="U329" s="78"/>
      <c r="V329" s="78"/>
    </row>
    <row r="330" ht="15.75" customHeight="1">
      <c r="P330" s="78"/>
      <c r="Q330" s="78"/>
      <c r="R330" s="78"/>
      <c r="S330" s="78"/>
      <c r="T330" s="78"/>
      <c r="U330" s="78"/>
      <c r="V330" s="78"/>
    </row>
    <row r="331" ht="15.75" customHeight="1">
      <c r="P331" s="78"/>
      <c r="Q331" s="78"/>
      <c r="R331" s="78"/>
      <c r="S331" s="78"/>
      <c r="T331" s="78"/>
      <c r="U331" s="78"/>
      <c r="V331" s="78"/>
    </row>
    <row r="332" ht="15.75" customHeight="1">
      <c r="P332" s="78"/>
      <c r="Q332" s="78"/>
      <c r="R332" s="78"/>
      <c r="S332" s="78"/>
      <c r="T332" s="78"/>
      <c r="U332" s="78"/>
      <c r="V332" s="78"/>
    </row>
    <row r="333" ht="15.75" customHeight="1">
      <c r="P333" s="78"/>
      <c r="Q333" s="78"/>
      <c r="R333" s="78"/>
      <c r="S333" s="78"/>
      <c r="T333" s="78"/>
      <c r="U333" s="78"/>
      <c r="V333" s="78"/>
    </row>
    <row r="334" ht="15.75" customHeight="1">
      <c r="P334" s="78"/>
      <c r="Q334" s="78"/>
      <c r="R334" s="78"/>
      <c r="S334" s="78"/>
      <c r="T334" s="78"/>
      <c r="U334" s="78"/>
      <c r="V334" s="78"/>
    </row>
    <row r="335" ht="15.75" customHeight="1">
      <c r="P335" s="78"/>
      <c r="Q335" s="78"/>
      <c r="R335" s="78"/>
      <c r="S335" s="78"/>
      <c r="T335" s="78"/>
      <c r="U335" s="78"/>
      <c r="V335" s="78"/>
    </row>
    <row r="336" ht="15.75" customHeight="1">
      <c r="P336" s="78"/>
      <c r="Q336" s="78"/>
      <c r="R336" s="78"/>
      <c r="S336" s="78"/>
      <c r="T336" s="78"/>
      <c r="U336" s="78"/>
      <c r="V336" s="78"/>
    </row>
    <row r="337" ht="15.75" customHeight="1">
      <c r="P337" s="78"/>
      <c r="Q337" s="78"/>
      <c r="R337" s="78"/>
      <c r="S337" s="78"/>
      <c r="T337" s="78"/>
      <c r="U337" s="78"/>
      <c r="V337" s="78"/>
    </row>
    <row r="338" ht="15.75" customHeight="1">
      <c r="P338" s="78"/>
      <c r="Q338" s="78"/>
      <c r="R338" s="78"/>
      <c r="S338" s="78"/>
      <c r="T338" s="78"/>
      <c r="U338" s="78"/>
      <c r="V338" s="78"/>
    </row>
    <row r="339" ht="15.75" customHeight="1">
      <c r="P339" s="78"/>
      <c r="Q339" s="78"/>
      <c r="R339" s="78"/>
      <c r="S339" s="78"/>
      <c r="T339" s="78"/>
      <c r="U339" s="78"/>
      <c r="V339" s="78"/>
    </row>
    <row r="340" ht="15.75" customHeight="1">
      <c r="P340" s="78"/>
      <c r="Q340" s="78"/>
      <c r="R340" s="78"/>
      <c r="S340" s="78"/>
      <c r="T340" s="78"/>
      <c r="U340" s="78"/>
      <c r="V340" s="78"/>
    </row>
    <row r="341" ht="15.75" customHeight="1">
      <c r="P341" s="78"/>
      <c r="Q341" s="78"/>
      <c r="R341" s="78"/>
      <c r="S341" s="78"/>
      <c r="T341" s="78"/>
      <c r="U341" s="78"/>
      <c r="V341" s="78"/>
    </row>
    <row r="342" ht="15.75" customHeight="1">
      <c r="P342" s="78"/>
      <c r="Q342" s="78"/>
      <c r="R342" s="78"/>
      <c r="S342" s="78"/>
      <c r="T342" s="78"/>
      <c r="U342" s="78"/>
      <c r="V342" s="78"/>
    </row>
    <row r="343" ht="15.75" customHeight="1">
      <c r="P343" s="78"/>
      <c r="Q343" s="78"/>
      <c r="R343" s="78"/>
      <c r="S343" s="78"/>
      <c r="T343" s="78"/>
      <c r="U343" s="78"/>
      <c r="V343" s="78"/>
    </row>
    <row r="344" ht="15.75" customHeight="1">
      <c r="P344" s="78"/>
      <c r="Q344" s="78"/>
      <c r="R344" s="78"/>
      <c r="S344" s="78"/>
      <c r="T344" s="78"/>
      <c r="U344" s="78"/>
      <c r="V344" s="78"/>
    </row>
    <row r="345" ht="15.75" customHeight="1">
      <c r="P345" s="78"/>
      <c r="Q345" s="78"/>
      <c r="R345" s="78"/>
      <c r="S345" s="78"/>
      <c r="T345" s="78"/>
      <c r="U345" s="78"/>
      <c r="V345" s="78"/>
    </row>
    <row r="346" ht="15.75" customHeight="1">
      <c r="P346" s="78"/>
      <c r="Q346" s="78"/>
      <c r="R346" s="78"/>
      <c r="S346" s="78"/>
      <c r="T346" s="78"/>
      <c r="U346" s="78"/>
      <c r="V346" s="78"/>
    </row>
    <row r="347" ht="15.75" customHeight="1">
      <c r="P347" s="78"/>
      <c r="Q347" s="78"/>
      <c r="R347" s="78"/>
      <c r="S347" s="78"/>
      <c r="T347" s="78"/>
      <c r="U347" s="78"/>
      <c r="V347" s="78"/>
    </row>
    <row r="348" ht="15.75" customHeight="1">
      <c r="P348" s="78"/>
      <c r="Q348" s="78"/>
      <c r="R348" s="78"/>
      <c r="S348" s="78"/>
      <c r="T348" s="78"/>
      <c r="U348" s="78"/>
      <c r="V348" s="78"/>
    </row>
    <row r="349" ht="15.75" customHeight="1">
      <c r="P349" s="78"/>
      <c r="Q349" s="78"/>
      <c r="R349" s="78"/>
      <c r="S349" s="78"/>
      <c r="T349" s="78"/>
      <c r="U349" s="78"/>
      <c r="V349" s="78"/>
    </row>
    <row r="350" ht="15.75" customHeight="1">
      <c r="P350" s="78"/>
      <c r="Q350" s="78"/>
      <c r="R350" s="78"/>
      <c r="S350" s="78"/>
      <c r="T350" s="78"/>
      <c r="U350" s="78"/>
      <c r="V350" s="78"/>
    </row>
    <row r="351" ht="15.75" customHeight="1">
      <c r="P351" s="78"/>
      <c r="Q351" s="78"/>
      <c r="R351" s="78"/>
      <c r="S351" s="78"/>
      <c r="T351" s="78"/>
      <c r="U351" s="78"/>
      <c r="V351" s="78"/>
    </row>
    <row r="352" ht="15.75" customHeight="1">
      <c r="P352" s="78"/>
      <c r="Q352" s="78"/>
      <c r="R352" s="78"/>
      <c r="S352" s="78"/>
      <c r="T352" s="78"/>
      <c r="U352" s="78"/>
      <c r="V352" s="78"/>
    </row>
    <row r="353" ht="15.75" customHeight="1">
      <c r="P353" s="78"/>
      <c r="Q353" s="78"/>
      <c r="R353" s="78"/>
      <c r="S353" s="78"/>
      <c r="T353" s="78"/>
      <c r="U353" s="78"/>
      <c r="V353" s="78"/>
    </row>
    <row r="354" ht="15.75" customHeight="1">
      <c r="P354" s="78"/>
      <c r="Q354" s="78"/>
      <c r="R354" s="78"/>
      <c r="S354" s="78"/>
      <c r="T354" s="78"/>
      <c r="U354" s="78"/>
      <c r="V354" s="78"/>
    </row>
    <row r="355" ht="15.75" customHeight="1">
      <c r="P355" s="78"/>
      <c r="Q355" s="78"/>
      <c r="R355" s="78"/>
      <c r="S355" s="78"/>
      <c r="T355" s="78"/>
      <c r="U355" s="78"/>
      <c r="V355" s="78"/>
    </row>
    <row r="356" ht="15.75" customHeight="1">
      <c r="P356" s="78"/>
      <c r="Q356" s="78"/>
      <c r="R356" s="78"/>
      <c r="S356" s="78"/>
      <c r="T356" s="78"/>
      <c r="U356" s="78"/>
      <c r="V356" s="78"/>
    </row>
    <row r="357" ht="15.75" customHeight="1">
      <c r="P357" s="78"/>
      <c r="Q357" s="78"/>
      <c r="R357" s="78"/>
      <c r="S357" s="78"/>
      <c r="T357" s="78"/>
      <c r="U357" s="78"/>
      <c r="V357" s="78"/>
    </row>
    <row r="358" ht="15.75" customHeight="1">
      <c r="P358" s="78"/>
      <c r="Q358" s="78"/>
      <c r="R358" s="78"/>
      <c r="S358" s="78"/>
      <c r="T358" s="78"/>
      <c r="U358" s="78"/>
      <c r="V358" s="78"/>
    </row>
    <row r="359" ht="15.75" customHeight="1">
      <c r="P359" s="78"/>
      <c r="Q359" s="78"/>
      <c r="R359" s="78"/>
      <c r="S359" s="78"/>
      <c r="T359" s="78"/>
      <c r="U359" s="78"/>
      <c r="V359" s="78"/>
    </row>
    <row r="360" ht="15.75" customHeight="1">
      <c r="P360" s="78"/>
      <c r="Q360" s="78"/>
      <c r="R360" s="78"/>
      <c r="S360" s="78"/>
      <c r="T360" s="78"/>
      <c r="U360" s="78"/>
      <c r="V360" s="78"/>
    </row>
    <row r="361" ht="15.75" customHeight="1">
      <c r="P361" s="78"/>
      <c r="Q361" s="78"/>
      <c r="R361" s="78"/>
      <c r="S361" s="78"/>
      <c r="T361" s="78"/>
      <c r="U361" s="78"/>
      <c r="V361" s="78"/>
    </row>
    <row r="362" ht="15.75" customHeight="1">
      <c r="P362" s="78"/>
      <c r="Q362" s="78"/>
      <c r="R362" s="78"/>
      <c r="S362" s="78"/>
      <c r="T362" s="78"/>
      <c r="U362" s="78"/>
      <c r="V362" s="78"/>
    </row>
    <row r="363" ht="15.75" customHeight="1">
      <c r="P363" s="78"/>
      <c r="Q363" s="78"/>
      <c r="R363" s="78"/>
      <c r="S363" s="78"/>
      <c r="T363" s="78"/>
      <c r="U363" s="78"/>
      <c r="V363" s="78"/>
    </row>
    <row r="364" ht="15.75" customHeight="1">
      <c r="P364" s="78"/>
      <c r="Q364" s="78"/>
      <c r="R364" s="78"/>
      <c r="S364" s="78"/>
      <c r="T364" s="78"/>
      <c r="U364" s="78"/>
      <c r="V364" s="78"/>
    </row>
    <row r="365" ht="15.75" customHeight="1">
      <c r="P365" s="78"/>
      <c r="Q365" s="78"/>
      <c r="R365" s="78"/>
      <c r="S365" s="78"/>
      <c r="T365" s="78"/>
      <c r="U365" s="78"/>
      <c r="V365" s="78"/>
    </row>
    <row r="366" ht="15.75" customHeight="1">
      <c r="P366" s="78"/>
      <c r="Q366" s="78"/>
      <c r="R366" s="78"/>
      <c r="S366" s="78"/>
      <c r="T366" s="78"/>
      <c r="U366" s="78"/>
      <c r="V366" s="78"/>
    </row>
    <row r="367" ht="15.75" customHeight="1">
      <c r="P367" s="78"/>
      <c r="Q367" s="78"/>
      <c r="R367" s="78"/>
      <c r="S367" s="78"/>
      <c r="T367" s="78"/>
      <c r="U367" s="78"/>
      <c r="V367" s="78"/>
    </row>
    <row r="368" ht="15.75" customHeight="1">
      <c r="P368" s="78"/>
      <c r="Q368" s="78"/>
      <c r="R368" s="78"/>
      <c r="S368" s="78"/>
      <c r="T368" s="78"/>
      <c r="U368" s="78"/>
      <c r="V368" s="78"/>
    </row>
    <row r="369" ht="15.75" customHeight="1">
      <c r="P369" s="78"/>
      <c r="Q369" s="78"/>
      <c r="R369" s="78"/>
      <c r="S369" s="78"/>
      <c r="T369" s="78"/>
      <c r="U369" s="78"/>
      <c r="V369" s="78"/>
    </row>
    <row r="370" ht="15.75" customHeight="1">
      <c r="P370" s="78"/>
      <c r="Q370" s="78"/>
      <c r="R370" s="78"/>
      <c r="S370" s="78"/>
      <c r="T370" s="78"/>
      <c r="U370" s="78"/>
      <c r="V370" s="78"/>
    </row>
    <row r="371" ht="15.75" customHeight="1">
      <c r="P371" s="78"/>
      <c r="Q371" s="78"/>
      <c r="R371" s="78"/>
      <c r="S371" s="78"/>
      <c r="T371" s="78"/>
      <c r="U371" s="78"/>
      <c r="V371" s="78"/>
    </row>
    <row r="372" ht="15.75" customHeight="1">
      <c r="P372" s="78"/>
      <c r="Q372" s="78"/>
      <c r="R372" s="78"/>
      <c r="S372" s="78"/>
      <c r="T372" s="78"/>
      <c r="U372" s="78"/>
      <c r="V372" s="78"/>
    </row>
    <row r="373" ht="15.75" customHeight="1">
      <c r="P373" s="78"/>
      <c r="Q373" s="78"/>
      <c r="R373" s="78"/>
      <c r="S373" s="78"/>
      <c r="T373" s="78"/>
      <c r="U373" s="78"/>
      <c r="V373" s="78"/>
    </row>
    <row r="374" ht="15.75" customHeight="1">
      <c r="P374" s="78"/>
      <c r="Q374" s="78"/>
      <c r="R374" s="78"/>
      <c r="S374" s="78"/>
      <c r="T374" s="78"/>
      <c r="U374" s="78"/>
      <c r="V374" s="78"/>
    </row>
    <row r="375" ht="15.75" customHeight="1">
      <c r="P375" s="78"/>
      <c r="Q375" s="78"/>
      <c r="R375" s="78"/>
      <c r="S375" s="78"/>
      <c r="T375" s="78"/>
      <c r="U375" s="78"/>
      <c r="V375" s="78"/>
    </row>
    <row r="376" ht="15.75" customHeight="1">
      <c r="P376" s="78"/>
      <c r="Q376" s="78"/>
      <c r="R376" s="78"/>
      <c r="S376" s="78"/>
      <c r="T376" s="78"/>
      <c r="U376" s="78"/>
      <c r="V376" s="78"/>
    </row>
    <row r="377" ht="15.75" customHeight="1">
      <c r="P377" s="78"/>
      <c r="Q377" s="78"/>
      <c r="R377" s="78"/>
      <c r="S377" s="78"/>
      <c r="T377" s="78"/>
      <c r="U377" s="78"/>
      <c r="V377" s="78"/>
    </row>
    <row r="378" ht="15.75" customHeight="1">
      <c r="P378" s="78"/>
      <c r="Q378" s="78"/>
      <c r="R378" s="78"/>
      <c r="S378" s="78"/>
      <c r="T378" s="78"/>
      <c r="U378" s="78"/>
      <c r="V378" s="78"/>
    </row>
    <row r="379" ht="15.75" customHeight="1">
      <c r="P379" s="78"/>
      <c r="Q379" s="78"/>
      <c r="R379" s="78"/>
      <c r="S379" s="78"/>
      <c r="T379" s="78"/>
      <c r="U379" s="78"/>
      <c r="V379" s="78"/>
    </row>
    <row r="380" ht="15.75" customHeight="1">
      <c r="P380" s="78"/>
      <c r="Q380" s="78"/>
      <c r="R380" s="78"/>
      <c r="S380" s="78"/>
      <c r="T380" s="78"/>
      <c r="U380" s="78"/>
      <c r="V380" s="78"/>
    </row>
    <row r="381" ht="15.75" customHeight="1">
      <c r="P381" s="78"/>
      <c r="Q381" s="78"/>
      <c r="R381" s="78"/>
      <c r="S381" s="78"/>
      <c r="T381" s="78"/>
      <c r="U381" s="78"/>
      <c r="V381" s="78"/>
    </row>
    <row r="382" ht="15.75" customHeight="1">
      <c r="P382" s="78"/>
      <c r="Q382" s="78"/>
      <c r="R382" s="78"/>
      <c r="S382" s="78"/>
      <c r="T382" s="78"/>
      <c r="U382" s="78"/>
      <c r="V382" s="78"/>
    </row>
    <row r="383" ht="15.75" customHeight="1">
      <c r="P383" s="78"/>
      <c r="Q383" s="78"/>
      <c r="R383" s="78"/>
      <c r="S383" s="78"/>
      <c r="T383" s="78"/>
      <c r="U383" s="78"/>
      <c r="V383" s="78"/>
    </row>
    <row r="384" ht="15.75" customHeight="1">
      <c r="P384" s="78"/>
      <c r="Q384" s="78"/>
      <c r="R384" s="78"/>
      <c r="S384" s="78"/>
      <c r="T384" s="78"/>
      <c r="U384" s="78"/>
      <c r="V384" s="78"/>
    </row>
    <row r="385" ht="15.75" customHeight="1">
      <c r="P385" s="78"/>
      <c r="Q385" s="78"/>
      <c r="R385" s="78"/>
      <c r="S385" s="78"/>
      <c r="T385" s="78"/>
      <c r="U385" s="78"/>
      <c r="V385" s="78"/>
    </row>
    <row r="386" ht="15.75" customHeight="1">
      <c r="P386" s="78"/>
      <c r="Q386" s="78"/>
      <c r="R386" s="78"/>
      <c r="S386" s="78"/>
      <c r="T386" s="78"/>
      <c r="U386" s="78"/>
      <c r="V386" s="78"/>
    </row>
    <row r="387" ht="15.75" customHeight="1">
      <c r="P387" s="78"/>
      <c r="Q387" s="78"/>
      <c r="R387" s="78"/>
      <c r="S387" s="78"/>
      <c r="T387" s="78"/>
      <c r="U387" s="78"/>
      <c r="V387" s="78"/>
    </row>
    <row r="388" ht="15.75" customHeight="1">
      <c r="P388" s="78"/>
      <c r="Q388" s="78"/>
      <c r="R388" s="78"/>
      <c r="S388" s="78"/>
      <c r="T388" s="78"/>
      <c r="U388" s="78"/>
      <c r="V388" s="78"/>
    </row>
    <row r="389" ht="15.75" customHeight="1">
      <c r="P389" s="78"/>
      <c r="Q389" s="78"/>
      <c r="R389" s="78"/>
      <c r="S389" s="78"/>
      <c r="T389" s="78"/>
      <c r="U389" s="78"/>
      <c r="V389" s="78"/>
    </row>
    <row r="390" ht="15.75" customHeight="1">
      <c r="P390" s="78"/>
      <c r="Q390" s="78"/>
      <c r="R390" s="78"/>
      <c r="S390" s="78"/>
      <c r="T390" s="78"/>
      <c r="U390" s="78"/>
      <c r="V390" s="78"/>
    </row>
    <row r="391" ht="15.75" customHeight="1">
      <c r="P391" s="78"/>
      <c r="Q391" s="78"/>
      <c r="R391" s="78"/>
      <c r="S391" s="78"/>
      <c r="T391" s="78"/>
      <c r="U391" s="78"/>
      <c r="V391" s="78"/>
    </row>
    <row r="392" ht="15.75" customHeight="1">
      <c r="P392" s="78"/>
      <c r="Q392" s="78"/>
      <c r="R392" s="78"/>
      <c r="S392" s="78"/>
      <c r="T392" s="78"/>
      <c r="U392" s="78"/>
      <c r="V392" s="78"/>
    </row>
    <row r="393" ht="15.75" customHeight="1">
      <c r="P393" s="78"/>
      <c r="Q393" s="78"/>
      <c r="R393" s="78"/>
      <c r="S393" s="78"/>
      <c r="T393" s="78"/>
      <c r="U393" s="78"/>
      <c r="V393" s="78"/>
    </row>
    <row r="394" ht="15.75" customHeight="1">
      <c r="P394" s="78"/>
      <c r="Q394" s="78"/>
      <c r="R394" s="78"/>
      <c r="S394" s="78"/>
      <c r="T394" s="78"/>
      <c r="U394" s="78"/>
      <c r="V394" s="78"/>
    </row>
    <row r="395" ht="15.75" customHeight="1">
      <c r="P395" s="78"/>
      <c r="Q395" s="78"/>
      <c r="R395" s="78"/>
      <c r="S395" s="78"/>
      <c r="T395" s="78"/>
      <c r="U395" s="78"/>
      <c r="V395" s="78"/>
    </row>
    <row r="396" ht="15.75" customHeight="1">
      <c r="P396" s="78"/>
      <c r="Q396" s="78"/>
      <c r="R396" s="78"/>
      <c r="S396" s="78"/>
      <c r="T396" s="78"/>
      <c r="U396" s="78"/>
      <c r="V396" s="78"/>
    </row>
    <row r="397" ht="15.75" customHeight="1">
      <c r="P397" s="78"/>
      <c r="Q397" s="78"/>
      <c r="R397" s="78"/>
      <c r="S397" s="78"/>
      <c r="T397" s="78"/>
      <c r="U397" s="78"/>
      <c r="V397" s="78"/>
    </row>
    <row r="398" ht="15.75" customHeight="1">
      <c r="P398" s="78"/>
      <c r="Q398" s="78"/>
      <c r="R398" s="78"/>
      <c r="S398" s="78"/>
      <c r="T398" s="78"/>
      <c r="U398" s="78"/>
      <c r="V398" s="78"/>
    </row>
    <row r="399" ht="15.75" customHeight="1">
      <c r="P399" s="78"/>
      <c r="Q399" s="78"/>
      <c r="R399" s="78"/>
      <c r="S399" s="78"/>
      <c r="T399" s="78"/>
      <c r="U399" s="78"/>
      <c r="V399" s="78"/>
    </row>
    <row r="400" ht="15.75" customHeight="1">
      <c r="P400" s="78"/>
      <c r="Q400" s="78"/>
      <c r="R400" s="78"/>
      <c r="S400" s="78"/>
      <c r="T400" s="78"/>
      <c r="U400" s="78"/>
      <c r="V400" s="78"/>
    </row>
    <row r="401" ht="15.75" customHeight="1">
      <c r="P401" s="78"/>
      <c r="Q401" s="78"/>
      <c r="R401" s="78"/>
      <c r="S401" s="78"/>
      <c r="T401" s="78"/>
      <c r="U401" s="78"/>
      <c r="V401" s="78"/>
    </row>
    <row r="402" ht="15.75" customHeight="1">
      <c r="P402" s="78"/>
      <c r="Q402" s="78"/>
      <c r="R402" s="78"/>
      <c r="S402" s="78"/>
      <c r="T402" s="78"/>
      <c r="U402" s="78"/>
      <c r="V402" s="78"/>
    </row>
    <row r="403" ht="15.75" customHeight="1">
      <c r="P403" s="78"/>
      <c r="Q403" s="78"/>
      <c r="R403" s="78"/>
      <c r="S403" s="78"/>
      <c r="T403" s="78"/>
      <c r="U403" s="78"/>
      <c r="V403" s="78"/>
    </row>
    <row r="404" ht="15.75" customHeight="1">
      <c r="P404" s="78"/>
      <c r="Q404" s="78"/>
      <c r="R404" s="78"/>
      <c r="S404" s="78"/>
      <c r="T404" s="78"/>
      <c r="U404" s="78"/>
      <c r="V404" s="78"/>
    </row>
    <row r="405" ht="15.75" customHeight="1">
      <c r="P405" s="78"/>
      <c r="Q405" s="78"/>
      <c r="R405" s="78"/>
      <c r="S405" s="78"/>
      <c r="T405" s="78"/>
      <c r="U405" s="78"/>
      <c r="V405" s="78"/>
    </row>
    <row r="406" ht="15.75" customHeight="1">
      <c r="P406" s="78"/>
      <c r="Q406" s="78"/>
      <c r="R406" s="78"/>
      <c r="S406" s="78"/>
      <c r="T406" s="78"/>
      <c r="U406" s="78"/>
      <c r="V406" s="78"/>
    </row>
    <row r="407" ht="15.75" customHeight="1">
      <c r="P407" s="78"/>
      <c r="Q407" s="78"/>
      <c r="R407" s="78"/>
      <c r="S407" s="78"/>
      <c r="T407" s="78"/>
      <c r="U407" s="78"/>
      <c r="V407" s="78"/>
    </row>
    <row r="408" ht="15.75" customHeight="1">
      <c r="P408" s="78"/>
      <c r="Q408" s="78"/>
      <c r="R408" s="78"/>
      <c r="S408" s="78"/>
      <c r="T408" s="78"/>
      <c r="U408" s="78"/>
      <c r="V408" s="78"/>
    </row>
    <row r="409" ht="15.75" customHeight="1">
      <c r="P409" s="78"/>
      <c r="Q409" s="78"/>
      <c r="R409" s="78"/>
      <c r="S409" s="78"/>
      <c r="T409" s="78"/>
      <c r="U409" s="78"/>
      <c r="V409" s="78"/>
    </row>
    <row r="410" ht="15.75" customHeight="1">
      <c r="P410" s="78"/>
      <c r="Q410" s="78"/>
      <c r="R410" s="78"/>
      <c r="S410" s="78"/>
      <c r="T410" s="78"/>
      <c r="U410" s="78"/>
      <c r="V410" s="78"/>
    </row>
    <row r="411" ht="15.75" customHeight="1">
      <c r="P411" s="78"/>
      <c r="Q411" s="78"/>
      <c r="R411" s="78"/>
      <c r="S411" s="78"/>
      <c r="T411" s="78"/>
      <c r="U411" s="78"/>
      <c r="V411" s="78"/>
    </row>
    <row r="412" ht="15.75" customHeight="1">
      <c r="P412" s="78"/>
      <c r="Q412" s="78"/>
      <c r="R412" s="78"/>
      <c r="S412" s="78"/>
      <c r="T412" s="78"/>
      <c r="U412" s="78"/>
      <c r="V412" s="78"/>
    </row>
    <row r="413" ht="15.75" customHeight="1">
      <c r="P413" s="78"/>
      <c r="Q413" s="78"/>
      <c r="R413" s="78"/>
      <c r="S413" s="78"/>
      <c r="T413" s="78"/>
      <c r="U413" s="78"/>
      <c r="V413" s="78"/>
    </row>
    <row r="414" ht="15.75" customHeight="1">
      <c r="P414" s="78"/>
      <c r="Q414" s="78"/>
      <c r="R414" s="78"/>
      <c r="S414" s="78"/>
      <c r="T414" s="78"/>
      <c r="U414" s="78"/>
      <c r="V414" s="78"/>
    </row>
    <row r="415" ht="15.75" customHeight="1">
      <c r="P415" s="78"/>
      <c r="Q415" s="78"/>
      <c r="R415" s="78"/>
      <c r="S415" s="78"/>
      <c r="T415" s="78"/>
      <c r="U415" s="78"/>
      <c r="V415" s="78"/>
    </row>
    <row r="416" ht="15.75" customHeight="1">
      <c r="P416" s="78"/>
      <c r="Q416" s="78"/>
      <c r="R416" s="78"/>
      <c r="S416" s="78"/>
      <c r="T416" s="78"/>
      <c r="U416" s="78"/>
      <c r="V416" s="78"/>
    </row>
    <row r="417" ht="15.75" customHeight="1">
      <c r="P417" s="78"/>
      <c r="Q417" s="78"/>
      <c r="R417" s="78"/>
      <c r="S417" s="78"/>
      <c r="T417" s="78"/>
      <c r="U417" s="78"/>
      <c r="V417" s="78"/>
    </row>
    <row r="418" ht="15.75" customHeight="1">
      <c r="P418" s="78"/>
      <c r="Q418" s="78"/>
      <c r="R418" s="78"/>
      <c r="S418" s="78"/>
      <c r="T418" s="78"/>
      <c r="U418" s="78"/>
      <c r="V418" s="78"/>
    </row>
    <row r="419" ht="15.75" customHeight="1">
      <c r="P419" s="78"/>
      <c r="Q419" s="78"/>
      <c r="R419" s="78"/>
      <c r="S419" s="78"/>
      <c r="T419" s="78"/>
      <c r="U419" s="78"/>
      <c r="V419" s="78"/>
    </row>
    <row r="420" ht="15.75" customHeight="1">
      <c r="P420" s="78"/>
      <c r="Q420" s="78"/>
      <c r="R420" s="78"/>
      <c r="S420" s="78"/>
      <c r="T420" s="78"/>
      <c r="U420" s="78"/>
      <c r="V420" s="78"/>
    </row>
    <row r="421" ht="15.75" customHeight="1">
      <c r="P421" s="78"/>
      <c r="Q421" s="78"/>
      <c r="R421" s="78"/>
      <c r="S421" s="78"/>
      <c r="T421" s="78"/>
      <c r="U421" s="78"/>
      <c r="V421" s="78"/>
    </row>
    <row r="422" ht="15.75" customHeight="1">
      <c r="P422" s="78"/>
      <c r="Q422" s="78"/>
      <c r="R422" s="78"/>
      <c r="S422" s="78"/>
      <c r="T422" s="78"/>
      <c r="U422" s="78"/>
      <c r="V422" s="78"/>
    </row>
    <row r="423" ht="15.75" customHeight="1">
      <c r="P423" s="78"/>
      <c r="Q423" s="78"/>
      <c r="R423" s="78"/>
      <c r="S423" s="78"/>
      <c r="T423" s="78"/>
      <c r="U423" s="78"/>
      <c r="V423" s="78"/>
    </row>
    <row r="424" ht="15.75" customHeight="1">
      <c r="P424" s="78"/>
      <c r="Q424" s="78"/>
      <c r="R424" s="78"/>
      <c r="S424" s="78"/>
      <c r="T424" s="78"/>
      <c r="U424" s="78"/>
      <c r="V424" s="78"/>
    </row>
    <row r="425" ht="15.75" customHeight="1">
      <c r="P425" s="78"/>
      <c r="Q425" s="78"/>
      <c r="R425" s="78"/>
      <c r="S425" s="78"/>
      <c r="T425" s="78"/>
      <c r="U425" s="78"/>
      <c r="V425" s="78"/>
    </row>
    <row r="426" ht="15.75" customHeight="1">
      <c r="P426" s="78"/>
      <c r="Q426" s="78"/>
      <c r="R426" s="78"/>
      <c r="S426" s="78"/>
      <c r="T426" s="78"/>
      <c r="U426" s="78"/>
      <c r="V426" s="78"/>
    </row>
    <row r="427" ht="15.75" customHeight="1">
      <c r="P427" s="78"/>
      <c r="Q427" s="78"/>
      <c r="R427" s="78"/>
      <c r="S427" s="78"/>
      <c r="T427" s="78"/>
      <c r="U427" s="78"/>
      <c r="V427" s="78"/>
    </row>
    <row r="428" ht="15.75" customHeight="1">
      <c r="P428" s="78"/>
      <c r="Q428" s="78"/>
      <c r="R428" s="78"/>
      <c r="S428" s="78"/>
      <c r="T428" s="78"/>
      <c r="U428" s="78"/>
      <c r="V428" s="78"/>
    </row>
    <row r="429" ht="15.75" customHeight="1">
      <c r="P429" s="78"/>
      <c r="Q429" s="78"/>
      <c r="R429" s="78"/>
      <c r="S429" s="78"/>
      <c r="T429" s="78"/>
      <c r="U429" s="78"/>
      <c r="V429" s="78"/>
    </row>
    <row r="430" ht="15.75" customHeight="1">
      <c r="P430" s="78"/>
      <c r="Q430" s="78"/>
      <c r="R430" s="78"/>
      <c r="S430" s="78"/>
      <c r="T430" s="78"/>
      <c r="U430" s="78"/>
      <c r="V430" s="78"/>
    </row>
    <row r="431" ht="15.75" customHeight="1">
      <c r="P431" s="78"/>
      <c r="Q431" s="78"/>
      <c r="R431" s="78"/>
      <c r="S431" s="78"/>
      <c r="T431" s="78"/>
      <c r="U431" s="78"/>
      <c r="V431" s="78"/>
    </row>
    <row r="432" ht="15.75" customHeight="1">
      <c r="P432" s="78"/>
      <c r="Q432" s="78"/>
      <c r="R432" s="78"/>
      <c r="S432" s="78"/>
      <c r="T432" s="78"/>
      <c r="U432" s="78"/>
      <c r="V432" s="78"/>
    </row>
    <row r="433" ht="15.75" customHeight="1">
      <c r="P433" s="78"/>
      <c r="Q433" s="78"/>
      <c r="R433" s="78"/>
      <c r="S433" s="78"/>
      <c r="T433" s="78"/>
      <c r="U433" s="78"/>
      <c r="V433" s="78"/>
    </row>
    <row r="434" ht="15.75" customHeight="1">
      <c r="P434" s="78"/>
      <c r="Q434" s="78"/>
      <c r="R434" s="78"/>
      <c r="S434" s="78"/>
      <c r="T434" s="78"/>
      <c r="U434" s="78"/>
      <c r="V434" s="78"/>
    </row>
    <row r="435" ht="15.75" customHeight="1">
      <c r="P435" s="78"/>
      <c r="Q435" s="78"/>
      <c r="R435" s="78"/>
      <c r="S435" s="78"/>
      <c r="T435" s="78"/>
      <c r="U435" s="78"/>
      <c r="V435" s="78"/>
    </row>
    <row r="436" ht="15.75" customHeight="1">
      <c r="P436" s="78"/>
      <c r="Q436" s="78"/>
      <c r="R436" s="78"/>
      <c r="S436" s="78"/>
      <c r="T436" s="78"/>
      <c r="U436" s="78"/>
      <c r="V436" s="78"/>
    </row>
    <row r="437" ht="15.75" customHeight="1">
      <c r="P437" s="78"/>
      <c r="Q437" s="78"/>
      <c r="R437" s="78"/>
      <c r="S437" s="78"/>
      <c r="T437" s="78"/>
      <c r="U437" s="78"/>
      <c r="V437" s="78"/>
    </row>
    <row r="438" ht="15.75" customHeight="1">
      <c r="P438" s="78"/>
      <c r="Q438" s="78"/>
      <c r="R438" s="78"/>
      <c r="S438" s="78"/>
      <c r="T438" s="78"/>
      <c r="U438" s="78"/>
      <c r="V438" s="78"/>
    </row>
    <row r="439" ht="15.75" customHeight="1">
      <c r="P439" s="78"/>
      <c r="Q439" s="78"/>
      <c r="R439" s="78"/>
      <c r="S439" s="78"/>
      <c r="T439" s="78"/>
      <c r="U439" s="78"/>
      <c r="V439" s="78"/>
    </row>
    <row r="440" ht="15.75" customHeight="1">
      <c r="P440" s="78"/>
      <c r="Q440" s="78"/>
      <c r="R440" s="78"/>
      <c r="S440" s="78"/>
      <c r="T440" s="78"/>
      <c r="U440" s="78"/>
      <c r="V440" s="78"/>
    </row>
    <row r="441" ht="15.75" customHeight="1">
      <c r="P441" s="78"/>
      <c r="Q441" s="78"/>
      <c r="R441" s="78"/>
      <c r="S441" s="78"/>
      <c r="T441" s="78"/>
      <c r="U441" s="78"/>
      <c r="V441" s="78"/>
    </row>
    <row r="442" ht="15.75" customHeight="1">
      <c r="P442" s="78"/>
      <c r="Q442" s="78"/>
      <c r="R442" s="78"/>
      <c r="S442" s="78"/>
      <c r="T442" s="78"/>
      <c r="U442" s="78"/>
      <c r="V442" s="78"/>
    </row>
    <row r="443" ht="15.75" customHeight="1">
      <c r="P443" s="78"/>
      <c r="Q443" s="78"/>
      <c r="R443" s="78"/>
      <c r="S443" s="78"/>
      <c r="T443" s="78"/>
      <c r="U443" s="78"/>
      <c r="V443" s="78"/>
    </row>
    <row r="444" ht="15.75" customHeight="1">
      <c r="P444" s="78"/>
      <c r="Q444" s="78"/>
      <c r="R444" s="78"/>
      <c r="S444" s="78"/>
      <c r="T444" s="78"/>
      <c r="U444" s="78"/>
      <c r="V444" s="78"/>
    </row>
    <row r="445" ht="15.75" customHeight="1">
      <c r="P445" s="78"/>
      <c r="Q445" s="78"/>
      <c r="R445" s="78"/>
      <c r="S445" s="78"/>
      <c r="T445" s="78"/>
      <c r="U445" s="78"/>
      <c r="V445" s="78"/>
    </row>
    <row r="446" ht="15.75" customHeight="1">
      <c r="P446" s="78"/>
      <c r="Q446" s="78"/>
      <c r="R446" s="78"/>
      <c r="S446" s="78"/>
      <c r="T446" s="78"/>
      <c r="U446" s="78"/>
      <c r="V446" s="78"/>
    </row>
    <row r="447" ht="15.75" customHeight="1">
      <c r="P447" s="78"/>
      <c r="Q447" s="78"/>
      <c r="R447" s="78"/>
      <c r="S447" s="78"/>
      <c r="T447" s="78"/>
      <c r="U447" s="78"/>
      <c r="V447" s="78"/>
    </row>
    <row r="448" ht="15.75" customHeight="1">
      <c r="P448" s="78"/>
      <c r="Q448" s="78"/>
      <c r="R448" s="78"/>
      <c r="S448" s="78"/>
      <c r="T448" s="78"/>
      <c r="U448" s="78"/>
      <c r="V448" s="78"/>
    </row>
    <row r="449" ht="15.75" customHeight="1">
      <c r="P449" s="78"/>
      <c r="Q449" s="78"/>
      <c r="R449" s="78"/>
      <c r="S449" s="78"/>
      <c r="T449" s="78"/>
      <c r="U449" s="78"/>
      <c r="V449" s="78"/>
    </row>
    <row r="450" ht="15.75" customHeight="1">
      <c r="P450" s="78"/>
      <c r="Q450" s="78"/>
      <c r="R450" s="78"/>
      <c r="S450" s="78"/>
      <c r="T450" s="78"/>
      <c r="U450" s="78"/>
      <c r="V450" s="78"/>
    </row>
    <row r="451" ht="15.75" customHeight="1">
      <c r="P451" s="78"/>
      <c r="Q451" s="78"/>
      <c r="R451" s="78"/>
      <c r="S451" s="78"/>
      <c r="T451" s="78"/>
      <c r="U451" s="78"/>
      <c r="V451" s="78"/>
    </row>
    <row r="452" ht="15.75" customHeight="1">
      <c r="P452" s="78"/>
      <c r="Q452" s="78"/>
      <c r="R452" s="78"/>
      <c r="S452" s="78"/>
      <c r="T452" s="78"/>
      <c r="U452" s="78"/>
      <c r="V452" s="78"/>
    </row>
    <row r="453" ht="15.75" customHeight="1">
      <c r="P453" s="78"/>
      <c r="Q453" s="78"/>
      <c r="R453" s="78"/>
      <c r="S453" s="78"/>
      <c r="T453" s="78"/>
      <c r="U453" s="78"/>
      <c r="V453" s="78"/>
    </row>
    <row r="454" ht="15.75" customHeight="1">
      <c r="P454" s="78"/>
      <c r="Q454" s="78"/>
      <c r="R454" s="78"/>
      <c r="S454" s="78"/>
      <c r="T454" s="78"/>
      <c r="U454" s="78"/>
      <c r="V454" s="78"/>
    </row>
    <row r="455" ht="15.75" customHeight="1">
      <c r="P455" s="78"/>
      <c r="Q455" s="78"/>
      <c r="R455" s="78"/>
      <c r="S455" s="78"/>
      <c r="T455" s="78"/>
      <c r="U455" s="78"/>
      <c r="V455" s="78"/>
    </row>
    <row r="456" ht="15.75" customHeight="1">
      <c r="P456" s="78"/>
      <c r="Q456" s="78"/>
      <c r="R456" s="78"/>
      <c r="S456" s="78"/>
      <c r="T456" s="78"/>
      <c r="U456" s="78"/>
      <c r="V456" s="78"/>
    </row>
    <row r="457" ht="15.75" customHeight="1">
      <c r="P457" s="78"/>
      <c r="Q457" s="78"/>
      <c r="R457" s="78"/>
      <c r="S457" s="78"/>
      <c r="T457" s="78"/>
      <c r="U457" s="78"/>
      <c r="V457" s="78"/>
    </row>
    <row r="458" ht="15.75" customHeight="1">
      <c r="P458" s="78"/>
      <c r="Q458" s="78"/>
      <c r="R458" s="78"/>
      <c r="S458" s="78"/>
      <c r="T458" s="78"/>
      <c r="U458" s="78"/>
      <c r="V458" s="78"/>
    </row>
    <row r="459" ht="15.75" customHeight="1">
      <c r="P459" s="78"/>
      <c r="Q459" s="78"/>
      <c r="R459" s="78"/>
      <c r="S459" s="78"/>
      <c r="T459" s="78"/>
      <c r="U459" s="78"/>
      <c r="V459" s="78"/>
    </row>
    <row r="460" ht="15.75" customHeight="1">
      <c r="P460" s="78"/>
      <c r="Q460" s="78"/>
      <c r="R460" s="78"/>
      <c r="S460" s="78"/>
      <c r="T460" s="78"/>
      <c r="U460" s="78"/>
      <c r="V460" s="78"/>
    </row>
    <row r="461" ht="15.75" customHeight="1">
      <c r="P461" s="78"/>
      <c r="Q461" s="78"/>
      <c r="R461" s="78"/>
      <c r="S461" s="78"/>
      <c r="T461" s="78"/>
      <c r="U461" s="78"/>
      <c r="V461" s="78"/>
    </row>
    <row r="462" ht="15.75" customHeight="1">
      <c r="P462" s="78"/>
      <c r="Q462" s="78"/>
      <c r="R462" s="78"/>
      <c r="S462" s="78"/>
      <c r="T462" s="78"/>
      <c r="U462" s="78"/>
      <c r="V462" s="78"/>
    </row>
    <row r="463" ht="15.75" customHeight="1">
      <c r="P463" s="78"/>
      <c r="Q463" s="78"/>
      <c r="R463" s="78"/>
      <c r="S463" s="78"/>
      <c r="T463" s="78"/>
      <c r="U463" s="78"/>
      <c r="V463" s="78"/>
    </row>
    <row r="464" ht="15.75" customHeight="1">
      <c r="P464" s="78"/>
      <c r="Q464" s="78"/>
      <c r="R464" s="78"/>
      <c r="S464" s="78"/>
      <c r="T464" s="78"/>
      <c r="U464" s="78"/>
      <c r="V464" s="78"/>
    </row>
    <row r="465" ht="15.75" customHeight="1">
      <c r="P465" s="78"/>
      <c r="Q465" s="78"/>
      <c r="R465" s="78"/>
      <c r="S465" s="78"/>
      <c r="T465" s="78"/>
      <c r="U465" s="78"/>
      <c r="V465" s="78"/>
    </row>
    <row r="466" ht="15.75" customHeight="1">
      <c r="P466" s="78"/>
      <c r="Q466" s="78"/>
      <c r="R466" s="78"/>
      <c r="S466" s="78"/>
      <c r="T466" s="78"/>
      <c r="U466" s="78"/>
      <c r="V466" s="78"/>
    </row>
    <row r="467" ht="15.75" customHeight="1">
      <c r="P467" s="78"/>
      <c r="Q467" s="78"/>
      <c r="R467" s="78"/>
      <c r="S467" s="78"/>
      <c r="T467" s="78"/>
      <c r="U467" s="78"/>
      <c r="V467" s="78"/>
    </row>
    <row r="468" ht="15.75" customHeight="1">
      <c r="P468" s="78"/>
      <c r="Q468" s="78"/>
      <c r="R468" s="78"/>
      <c r="S468" s="78"/>
      <c r="T468" s="78"/>
      <c r="U468" s="78"/>
      <c r="V468" s="78"/>
    </row>
    <row r="469" ht="15.75" customHeight="1">
      <c r="P469" s="78"/>
      <c r="Q469" s="78"/>
      <c r="R469" s="78"/>
      <c r="S469" s="78"/>
      <c r="T469" s="78"/>
      <c r="U469" s="78"/>
      <c r="V469" s="78"/>
    </row>
    <row r="470" ht="15.75" customHeight="1">
      <c r="P470" s="78"/>
      <c r="Q470" s="78"/>
      <c r="R470" s="78"/>
      <c r="S470" s="78"/>
      <c r="T470" s="78"/>
      <c r="U470" s="78"/>
      <c r="V470" s="78"/>
    </row>
    <row r="471" ht="15.75" customHeight="1">
      <c r="P471" s="78"/>
      <c r="Q471" s="78"/>
      <c r="R471" s="78"/>
      <c r="S471" s="78"/>
      <c r="T471" s="78"/>
      <c r="U471" s="78"/>
      <c r="V471" s="78"/>
    </row>
    <row r="472" ht="15.75" customHeight="1">
      <c r="P472" s="78"/>
      <c r="Q472" s="78"/>
      <c r="R472" s="78"/>
      <c r="S472" s="78"/>
      <c r="T472" s="78"/>
      <c r="U472" s="78"/>
      <c r="V472" s="78"/>
    </row>
    <row r="473" ht="15.75" customHeight="1">
      <c r="P473" s="78"/>
      <c r="Q473" s="78"/>
      <c r="R473" s="78"/>
      <c r="S473" s="78"/>
      <c r="T473" s="78"/>
      <c r="U473" s="78"/>
      <c r="V473" s="78"/>
    </row>
    <row r="474" ht="15.75" customHeight="1">
      <c r="P474" s="78"/>
      <c r="Q474" s="78"/>
      <c r="R474" s="78"/>
      <c r="S474" s="78"/>
      <c r="T474" s="78"/>
      <c r="U474" s="78"/>
      <c r="V474" s="78"/>
    </row>
    <row r="475" ht="15.75" customHeight="1">
      <c r="P475" s="78"/>
      <c r="Q475" s="78"/>
      <c r="R475" s="78"/>
      <c r="S475" s="78"/>
      <c r="T475" s="78"/>
      <c r="U475" s="78"/>
      <c r="V475" s="78"/>
    </row>
    <row r="476" ht="15.75" customHeight="1">
      <c r="P476" s="78"/>
      <c r="Q476" s="78"/>
      <c r="R476" s="78"/>
      <c r="S476" s="78"/>
      <c r="T476" s="78"/>
      <c r="U476" s="78"/>
      <c r="V476" s="78"/>
    </row>
    <row r="477" ht="15.75" customHeight="1">
      <c r="P477" s="78"/>
      <c r="Q477" s="78"/>
      <c r="R477" s="78"/>
      <c r="S477" s="78"/>
      <c r="T477" s="78"/>
      <c r="U477" s="78"/>
      <c r="V477" s="78"/>
    </row>
    <row r="478" ht="15.75" customHeight="1">
      <c r="P478" s="78"/>
      <c r="Q478" s="78"/>
      <c r="R478" s="78"/>
      <c r="S478" s="78"/>
      <c r="T478" s="78"/>
      <c r="U478" s="78"/>
      <c r="V478" s="78"/>
    </row>
    <row r="479" ht="15.75" customHeight="1">
      <c r="P479" s="78"/>
      <c r="Q479" s="78"/>
      <c r="R479" s="78"/>
      <c r="S479" s="78"/>
      <c r="T479" s="78"/>
      <c r="U479" s="78"/>
      <c r="V479" s="78"/>
    </row>
    <row r="480" ht="15.75" customHeight="1">
      <c r="P480" s="78"/>
      <c r="Q480" s="78"/>
      <c r="R480" s="78"/>
      <c r="S480" s="78"/>
      <c r="T480" s="78"/>
      <c r="U480" s="78"/>
      <c r="V480" s="78"/>
    </row>
    <row r="481" ht="15.75" customHeight="1">
      <c r="P481" s="78"/>
      <c r="Q481" s="78"/>
      <c r="R481" s="78"/>
      <c r="S481" s="78"/>
      <c r="T481" s="78"/>
      <c r="U481" s="78"/>
      <c r="V481" s="78"/>
    </row>
    <row r="482" ht="15.75" customHeight="1">
      <c r="P482" s="78"/>
      <c r="Q482" s="78"/>
      <c r="R482" s="78"/>
      <c r="S482" s="78"/>
      <c r="T482" s="78"/>
      <c r="U482" s="78"/>
      <c r="V482" s="78"/>
    </row>
    <row r="483" ht="15.75" customHeight="1">
      <c r="P483" s="78"/>
      <c r="Q483" s="78"/>
      <c r="R483" s="78"/>
      <c r="S483" s="78"/>
      <c r="T483" s="78"/>
      <c r="U483" s="78"/>
      <c r="V483" s="78"/>
    </row>
    <row r="484" ht="15.75" customHeight="1">
      <c r="P484" s="78"/>
      <c r="Q484" s="78"/>
      <c r="R484" s="78"/>
      <c r="S484" s="78"/>
      <c r="T484" s="78"/>
      <c r="U484" s="78"/>
      <c r="V484" s="78"/>
    </row>
    <row r="485" ht="15.75" customHeight="1">
      <c r="P485" s="78"/>
      <c r="Q485" s="78"/>
      <c r="R485" s="78"/>
      <c r="S485" s="78"/>
      <c r="T485" s="78"/>
      <c r="U485" s="78"/>
      <c r="V485" s="78"/>
    </row>
    <row r="486" ht="15.75" customHeight="1">
      <c r="P486" s="78"/>
      <c r="Q486" s="78"/>
      <c r="R486" s="78"/>
      <c r="S486" s="78"/>
      <c r="T486" s="78"/>
      <c r="U486" s="78"/>
      <c r="V486" s="78"/>
    </row>
    <row r="487" ht="15.75" customHeight="1">
      <c r="P487" s="78"/>
      <c r="Q487" s="78"/>
      <c r="R487" s="78"/>
      <c r="S487" s="78"/>
      <c r="T487" s="78"/>
      <c r="U487" s="78"/>
      <c r="V487" s="78"/>
    </row>
    <row r="488" ht="15.75" customHeight="1">
      <c r="P488" s="78"/>
      <c r="Q488" s="78"/>
      <c r="R488" s="78"/>
      <c r="S488" s="78"/>
      <c r="T488" s="78"/>
      <c r="U488" s="78"/>
      <c r="V488" s="78"/>
    </row>
    <row r="489" ht="15.75" customHeight="1">
      <c r="P489" s="78"/>
      <c r="Q489" s="78"/>
      <c r="R489" s="78"/>
      <c r="S489" s="78"/>
      <c r="T489" s="78"/>
      <c r="U489" s="78"/>
      <c r="V489" s="78"/>
    </row>
    <row r="490" ht="15.75" customHeight="1">
      <c r="P490" s="78"/>
      <c r="Q490" s="78"/>
      <c r="R490" s="78"/>
      <c r="S490" s="78"/>
      <c r="T490" s="78"/>
      <c r="U490" s="78"/>
      <c r="V490" s="78"/>
    </row>
    <row r="491" ht="15.75" customHeight="1">
      <c r="P491" s="78"/>
      <c r="Q491" s="78"/>
      <c r="R491" s="78"/>
      <c r="S491" s="78"/>
      <c r="T491" s="78"/>
      <c r="U491" s="78"/>
      <c r="V491" s="78"/>
    </row>
    <row r="492" ht="15.75" customHeight="1">
      <c r="P492" s="78"/>
      <c r="Q492" s="78"/>
      <c r="R492" s="78"/>
      <c r="S492" s="78"/>
      <c r="T492" s="78"/>
      <c r="U492" s="78"/>
      <c r="V492" s="78"/>
    </row>
    <row r="493" ht="15.75" customHeight="1">
      <c r="P493" s="78"/>
      <c r="Q493" s="78"/>
      <c r="R493" s="78"/>
      <c r="S493" s="78"/>
      <c r="T493" s="78"/>
      <c r="U493" s="78"/>
      <c r="V493" s="78"/>
    </row>
    <row r="494" ht="15.75" customHeight="1">
      <c r="P494" s="78"/>
      <c r="Q494" s="78"/>
      <c r="R494" s="78"/>
      <c r="S494" s="78"/>
      <c r="T494" s="78"/>
      <c r="U494" s="78"/>
      <c r="V494" s="78"/>
    </row>
    <row r="495" ht="15.75" customHeight="1">
      <c r="P495" s="78"/>
      <c r="Q495" s="78"/>
      <c r="R495" s="78"/>
      <c r="S495" s="78"/>
      <c r="T495" s="78"/>
      <c r="U495" s="78"/>
      <c r="V495" s="78"/>
    </row>
    <row r="496" ht="15.75" customHeight="1">
      <c r="P496" s="78"/>
      <c r="Q496" s="78"/>
      <c r="R496" s="78"/>
      <c r="S496" s="78"/>
      <c r="T496" s="78"/>
      <c r="U496" s="78"/>
      <c r="V496" s="78"/>
    </row>
    <row r="497" ht="15.75" customHeight="1">
      <c r="P497" s="78"/>
      <c r="Q497" s="78"/>
      <c r="R497" s="78"/>
      <c r="S497" s="78"/>
      <c r="T497" s="78"/>
      <c r="U497" s="78"/>
      <c r="V497" s="78"/>
    </row>
    <row r="498" ht="15.75" customHeight="1">
      <c r="P498" s="78"/>
      <c r="Q498" s="78"/>
      <c r="R498" s="78"/>
      <c r="S498" s="78"/>
      <c r="T498" s="78"/>
      <c r="U498" s="78"/>
      <c r="V498" s="78"/>
    </row>
    <row r="499" ht="15.75" customHeight="1">
      <c r="P499" s="78"/>
      <c r="Q499" s="78"/>
      <c r="R499" s="78"/>
      <c r="S499" s="78"/>
      <c r="T499" s="78"/>
      <c r="U499" s="78"/>
      <c r="V499" s="78"/>
    </row>
    <row r="500" ht="15.75" customHeight="1">
      <c r="P500" s="78"/>
      <c r="Q500" s="78"/>
      <c r="R500" s="78"/>
      <c r="S500" s="78"/>
      <c r="T500" s="78"/>
      <c r="U500" s="78"/>
      <c r="V500" s="78"/>
    </row>
    <row r="501" ht="15.75" customHeight="1">
      <c r="P501" s="78"/>
      <c r="Q501" s="78"/>
      <c r="R501" s="78"/>
      <c r="S501" s="78"/>
      <c r="T501" s="78"/>
      <c r="U501" s="78"/>
      <c r="V501" s="78"/>
    </row>
    <row r="502" ht="15.75" customHeight="1">
      <c r="P502" s="78"/>
      <c r="Q502" s="78"/>
      <c r="R502" s="78"/>
      <c r="S502" s="78"/>
      <c r="T502" s="78"/>
      <c r="U502" s="78"/>
      <c r="V502" s="78"/>
    </row>
    <row r="503" ht="15.75" customHeight="1">
      <c r="P503" s="78"/>
      <c r="Q503" s="78"/>
      <c r="R503" s="78"/>
      <c r="S503" s="78"/>
      <c r="T503" s="78"/>
      <c r="U503" s="78"/>
      <c r="V503" s="78"/>
    </row>
    <row r="504" ht="15.75" customHeight="1">
      <c r="P504" s="78"/>
      <c r="Q504" s="78"/>
      <c r="R504" s="78"/>
      <c r="S504" s="78"/>
      <c r="T504" s="78"/>
      <c r="U504" s="78"/>
      <c r="V504" s="78"/>
    </row>
    <row r="505" ht="15.75" customHeight="1">
      <c r="P505" s="78"/>
      <c r="Q505" s="78"/>
      <c r="R505" s="78"/>
      <c r="S505" s="78"/>
      <c r="T505" s="78"/>
      <c r="U505" s="78"/>
      <c r="V505" s="78"/>
    </row>
    <row r="506" ht="15.75" customHeight="1">
      <c r="P506" s="78"/>
      <c r="Q506" s="78"/>
      <c r="R506" s="78"/>
      <c r="S506" s="78"/>
      <c r="T506" s="78"/>
      <c r="U506" s="78"/>
      <c r="V506" s="78"/>
    </row>
    <row r="507" ht="15.75" customHeight="1">
      <c r="P507" s="78"/>
      <c r="Q507" s="78"/>
      <c r="R507" s="78"/>
      <c r="S507" s="78"/>
      <c r="T507" s="78"/>
      <c r="U507" s="78"/>
      <c r="V507" s="78"/>
    </row>
    <row r="508" ht="15.75" customHeight="1">
      <c r="P508" s="78"/>
      <c r="Q508" s="78"/>
      <c r="R508" s="78"/>
      <c r="S508" s="78"/>
      <c r="T508" s="78"/>
      <c r="U508" s="78"/>
      <c r="V508" s="78"/>
    </row>
    <row r="509" ht="15.75" customHeight="1">
      <c r="P509" s="78"/>
      <c r="Q509" s="78"/>
      <c r="R509" s="78"/>
      <c r="S509" s="78"/>
      <c r="T509" s="78"/>
      <c r="U509" s="78"/>
      <c r="V509" s="78"/>
    </row>
    <row r="510" ht="15.75" customHeight="1">
      <c r="P510" s="78"/>
      <c r="Q510" s="78"/>
      <c r="R510" s="78"/>
      <c r="S510" s="78"/>
      <c r="T510" s="78"/>
      <c r="U510" s="78"/>
      <c r="V510" s="78"/>
    </row>
    <row r="511" ht="15.75" customHeight="1">
      <c r="P511" s="78"/>
      <c r="Q511" s="78"/>
      <c r="R511" s="78"/>
      <c r="S511" s="78"/>
      <c r="T511" s="78"/>
      <c r="U511" s="78"/>
      <c r="V511" s="78"/>
    </row>
    <row r="512" ht="15.75" customHeight="1">
      <c r="P512" s="78"/>
      <c r="Q512" s="78"/>
      <c r="R512" s="78"/>
      <c r="S512" s="78"/>
      <c r="T512" s="78"/>
      <c r="U512" s="78"/>
      <c r="V512" s="78"/>
    </row>
    <row r="513" ht="15.75" customHeight="1">
      <c r="P513" s="78"/>
      <c r="Q513" s="78"/>
      <c r="R513" s="78"/>
      <c r="S513" s="78"/>
      <c r="T513" s="78"/>
      <c r="U513" s="78"/>
      <c r="V513" s="78"/>
    </row>
    <row r="514" ht="15.75" customHeight="1">
      <c r="P514" s="78"/>
      <c r="Q514" s="78"/>
      <c r="R514" s="78"/>
      <c r="S514" s="78"/>
      <c r="T514" s="78"/>
      <c r="U514" s="78"/>
      <c r="V514" s="78"/>
    </row>
    <row r="515" ht="15.75" customHeight="1">
      <c r="P515" s="78"/>
      <c r="Q515" s="78"/>
      <c r="R515" s="78"/>
      <c r="S515" s="78"/>
      <c r="T515" s="78"/>
      <c r="U515" s="78"/>
      <c r="V515" s="78"/>
    </row>
    <row r="516" ht="15.75" customHeight="1">
      <c r="P516" s="78"/>
      <c r="Q516" s="78"/>
      <c r="R516" s="78"/>
      <c r="S516" s="78"/>
      <c r="T516" s="78"/>
      <c r="U516" s="78"/>
      <c r="V516" s="78"/>
    </row>
    <row r="517" ht="15.75" customHeight="1">
      <c r="P517" s="78"/>
      <c r="Q517" s="78"/>
      <c r="R517" s="78"/>
      <c r="S517" s="78"/>
      <c r="T517" s="78"/>
      <c r="U517" s="78"/>
      <c r="V517" s="78"/>
    </row>
    <row r="518" ht="15.75" customHeight="1">
      <c r="P518" s="78"/>
      <c r="Q518" s="78"/>
      <c r="R518" s="78"/>
      <c r="S518" s="78"/>
      <c r="T518" s="78"/>
      <c r="U518" s="78"/>
      <c r="V518" s="78"/>
    </row>
    <row r="519" ht="15.75" customHeight="1">
      <c r="P519" s="78"/>
      <c r="Q519" s="78"/>
      <c r="R519" s="78"/>
      <c r="S519" s="78"/>
      <c r="T519" s="78"/>
      <c r="U519" s="78"/>
      <c r="V519" s="78"/>
    </row>
    <row r="520" ht="15.75" customHeight="1">
      <c r="P520" s="78"/>
      <c r="Q520" s="78"/>
      <c r="R520" s="78"/>
      <c r="S520" s="78"/>
      <c r="T520" s="78"/>
      <c r="U520" s="78"/>
      <c r="V520" s="78"/>
    </row>
    <row r="521" ht="15.75" customHeight="1">
      <c r="P521" s="78"/>
      <c r="Q521" s="78"/>
      <c r="R521" s="78"/>
      <c r="S521" s="78"/>
      <c r="T521" s="78"/>
      <c r="U521" s="78"/>
      <c r="V521" s="78"/>
    </row>
    <row r="522" ht="15.75" customHeight="1">
      <c r="P522" s="78"/>
      <c r="Q522" s="78"/>
      <c r="R522" s="78"/>
      <c r="S522" s="78"/>
      <c r="T522" s="78"/>
      <c r="U522" s="78"/>
      <c r="V522" s="78"/>
    </row>
    <row r="523" ht="15.75" customHeight="1">
      <c r="P523" s="78"/>
      <c r="Q523" s="78"/>
      <c r="R523" s="78"/>
      <c r="S523" s="78"/>
      <c r="T523" s="78"/>
      <c r="U523" s="78"/>
      <c r="V523" s="78"/>
    </row>
    <row r="524" ht="15.75" customHeight="1">
      <c r="P524" s="78"/>
      <c r="Q524" s="78"/>
      <c r="R524" s="78"/>
      <c r="S524" s="78"/>
      <c r="T524" s="78"/>
      <c r="U524" s="78"/>
      <c r="V524" s="78"/>
    </row>
    <row r="525" ht="15.75" customHeight="1">
      <c r="P525" s="78"/>
      <c r="Q525" s="78"/>
      <c r="R525" s="78"/>
      <c r="S525" s="78"/>
      <c r="T525" s="78"/>
      <c r="U525" s="78"/>
      <c r="V525" s="78"/>
    </row>
    <row r="526" ht="15.75" customHeight="1">
      <c r="P526" s="78"/>
      <c r="Q526" s="78"/>
      <c r="R526" s="78"/>
      <c r="S526" s="78"/>
      <c r="T526" s="78"/>
      <c r="U526" s="78"/>
      <c r="V526" s="78"/>
    </row>
    <row r="527" ht="15.75" customHeight="1">
      <c r="P527" s="78"/>
      <c r="Q527" s="78"/>
      <c r="R527" s="78"/>
      <c r="S527" s="78"/>
      <c r="T527" s="78"/>
      <c r="U527" s="78"/>
      <c r="V527" s="78"/>
    </row>
    <row r="528" ht="15.75" customHeight="1">
      <c r="P528" s="78"/>
      <c r="Q528" s="78"/>
      <c r="R528" s="78"/>
      <c r="S528" s="78"/>
      <c r="T528" s="78"/>
      <c r="U528" s="78"/>
      <c r="V528" s="78"/>
    </row>
    <row r="529" ht="15.75" customHeight="1">
      <c r="P529" s="78"/>
      <c r="Q529" s="78"/>
      <c r="R529" s="78"/>
      <c r="S529" s="78"/>
      <c r="T529" s="78"/>
      <c r="U529" s="78"/>
      <c r="V529" s="78"/>
    </row>
    <row r="530" ht="15.75" customHeight="1">
      <c r="P530" s="78"/>
      <c r="Q530" s="78"/>
      <c r="R530" s="78"/>
      <c r="S530" s="78"/>
      <c r="T530" s="78"/>
      <c r="U530" s="78"/>
      <c r="V530" s="78"/>
    </row>
    <row r="531" ht="15.75" customHeight="1">
      <c r="P531" s="78"/>
      <c r="Q531" s="78"/>
      <c r="R531" s="78"/>
      <c r="S531" s="78"/>
      <c r="T531" s="78"/>
      <c r="U531" s="78"/>
      <c r="V531" s="78"/>
    </row>
    <row r="532" ht="15.75" customHeight="1">
      <c r="P532" s="78"/>
      <c r="Q532" s="78"/>
      <c r="R532" s="78"/>
      <c r="S532" s="78"/>
      <c r="T532" s="78"/>
      <c r="U532" s="78"/>
      <c r="V532" s="78"/>
    </row>
    <row r="533" ht="15.75" customHeight="1">
      <c r="P533" s="78"/>
      <c r="Q533" s="78"/>
      <c r="R533" s="78"/>
      <c r="S533" s="78"/>
      <c r="T533" s="78"/>
      <c r="U533" s="78"/>
      <c r="V533" s="78"/>
    </row>
    <row r="534" ht="15.75" customHeight="1">
      <c r="P534" s="78"/>
      <c r="Q534" s="78"/>
      <c r="R534" s="78"/>
      <c r="S534" s="78"/>
      <c r="T534" s="78"/>
      <c r="U534" s="78"/>
      <c r="V534" s="78"/>
    </row>
    <row r="535" ht="15.75" customHeight="1">
      <c r="P535" s="78"/>
      <c r="Q535" s="78"/>
      <c r="R535" s="78"/>
      <c r="S535" s="78"/>
      <c r="T535" s="78"/>
      <c r="U535" s="78"/>
      <c r="V535" s="78"/>
    </row>
    <row r="536" ht="15.75" customHeight="1">
      <c r="P536" s="78"/>
      <c r="Q536" s="78"/>
      <c r="R536" s="78"/>
      <c r="S536" s="78"/>
      <c r="T536" s="78"/>
      <c r="U536" s="78"/>
      <c r="V536" s="78"/>
    </row>
    <row r="537" ht="15.75" customHeight="1">
      <c r="P537" s="78"/>
      <c r="Q537" s="78"/>
      <c r="R537" s="78"/>
      <c r="S537" s="78"/>
      <c r="T537" s="78"/>
      <c r="U537" s="78"/>
      <c r="V537" s="78"/>
    </row>
    <row r="538" ht="15.75" customHeight="1">
      <c r="P538" s="78"/>
      <c r="Q538" s="78"/>
      <c r="R538" s="78"/>
      <c r="S538" s="78"/>
      <c r="T538" s="78"/>
      <c r="U538" s="78"/>
      <c r="V538" s="78"/>
    </row>
    <row r="539" ht="15.75" customHeight="1">
      <c r="P539" s="78"/>
      <c r="Q539" s="78"/>
      <c r="R539" s="78"/>
      <c r="S539" s="78"/>
      <c r="T539" s="78"/>
      <c r="U539" s="78"/>
      <c r="V539" s="78"/>
    </row>
    <row r="540" ht="15.75" customHeight="1">
      <c r="P540" s="78"/>
      <c r="Q540" s="78"/>
      <c r="R540" s="78"/>
      <c r="S540" s="78"/>
      <c r="T540" s="78"/>
      <c r="U540" s="78"/>
      <c r="V540" s="78"/>
    </row>
    <row r="541" ht="15.75" customHeight="1">
      <c r="P541" s="78"/>
      <c r="Q541" s="78"/>
      <c r="R541" s="78"/>
      <c r="S541" s="78"/>
      <c r="T541" s="78"/>
      <c r="U541" s="78"/>
      <c r="V541" s="78"/>
    </row>
    <row r="542" ht="15.75" customHeight="1">
      <c r="P542" s="78"/>
      <c r="Q542" s="78"/>
      <c r="R542" s="78"/>
      <c r="S542" s="78"/>
      <c r="T542" s="78"/>
      <c r="U542" s="78"/>
      <c r="V542" s="78"/>
    </row>
    <row r="543" ht="15.75" customHeight="1">
      <c r="P543" s="78"/>
      <c r="Q543" s="78"/>
      <c r="R543" s="78"/>
      <c r="S543" s="78"/>
      <c r="T543" s="78"/>
      <c r="U543" s="78"/>
      <c r="V543" s="78"/>
    </row>
    <row r="544" ht="15.75" customHeight="1">
      <c r="P544" s="78"/>
      <c r="Q544" s="78"/>
      <c r="R544" s="78"/>
      <c r="S544" s="78"/>
      <c r="T544" s="78"/>
      <c r="U544" s="78"/>
      <c r="V544" s="78"/>
    </row>
    <row r="545" ht="15.75" customHeight="1">
      <c r="P545" s="78"/>
      <c r="Q545" s="78"/>
      <c r="R545" s="78"/>
      <c r="S545" s="78"/>
      <c r="T545" s="78"/>
      <c r="U545" s="78"/>
      <c r="V545" s="78"/>
    </row>
    <row r="546" ht="15.75" customHeight="1">
      <c r="P546" s="78"/>
      <c r="Q546" s="78"/>
      <c r="R546" s="78"/>
      <c r="S546" s="78"/>
      <c r="T546" s="78"/>
      <c r="U546" s="78"/>
      <c r="V546" s="78"/>
    </row>
    <row r="547" ht="15.75" customHeight="1">
      <c r="P547" s="78"/>
      <c r="Q547" s="78"/>
      <c r="R547" s="78"/>
      <c r="S547" s="78"/>
      <c r="T547" s="78"/>
      <c r="U547" s="78"/>
      <c r="V547" s="78"/>
    </row>
    <row r="548" ht="15.75" customHeight="1">
      <c r="P548" s="78"/>
      <c r="Q548" s="78"/>
      <c r="R548" s="78"/>
      <c r="S548" s="78"/>
      <c r="T548" s="78"/>
      <c r="U548" s="78"/>
      <c r="V548" s="78"/>
    </row>
    <row r="549" ht="15.75" customHeight="1">
      <c r="P549" s="78"/>
      <c r="Q549" s="78"/>
      <c r="R549" s="78"/>
      <c r="S549" s="78"/>
      <c r="T549" s="78"/>
      <c r="U549" s="78"/>
      <c r="V549" s="78"/>
    </row>
    <row r="550" ht="15.75" customHeight="1">
      <c r="P550" s="78"/>
      <c r="Q550" s="78"/>
      <c r="R550" s="78"/>
      <c r="S550" s="78"/>
      <c r="T550" s="78"/>
      <c r="U550" s="78"/>
      <c r="V550" s="78"/>
    </row>
    <row r="551" ht="15.75" customHeight="1">
      <c r="P551" s="78"/>
      <c r="Q551" s="78"/>
      <c r="R551" s="78"/>
      <c r="S551" s="78"/>
      <c r="T551" s="78"/>
      <c r="U551" s="78"/>
      <c r="V551" s="78"/>
    </row>
    <row r="552" ht="15.75" customHeight="1">
      <c r="P552" s="78"/>
      <c r="Q552" s="78"/>
      <c r="R552" s="78"/>
      <c r="S552" s="78"/>
      <c r="T552" s="78"/>
      <c r="U552" s="78"/>
      <c r="V552" s="78"/>
    </row>
    <row r="553" ht="15.75" customHeight="1">
      <c r="P553" s="78"/>
      <c r="Q553" s="78"/>
      <c r="R553" s="78"/>
      <c r="S553" s="78"/>
      <c r="T553" s="78"/>
      <c r="U553" s="78"/>
      <c r="V553" s="78"/>
    </row>
    <row r="554" ht="15.75" customHeight="1">
      <c r="P554" s="78"/>
      <c r="Q554" s="78"/>
      <c r="R554" s="78"/>
      <c r="S554" s="78"/>
      <c r="T554" s="78"/>
      <c r="U554" s="78"/>
      <c r="V554" s="78"/>
    </row>
    <row r="555" ht="15.75" customHeight="1">
      <c r="P555" s="78"/>
      <c r="Q555" s="78"/>
      <c r="R555" s="78"/>
      <c r="S555" s="78"/>
      <c r="T555" s="78"/>
      <c r="U555" s="78"/>
      <c r="V555" s="78"/>
    </row>
    <row r="556" ht="15.75" customHeight="1">
      <c r="P556" s="78"/>
      <c r="Q556" s="78"/>
      <c r="R556" s="78"/>
      <c r="S556" s="78"/>
      <c r="T556" s="78"/>
      <c r="U556" s="78"/>
      <c r="V556" s="78"/>
    </row>
    <row r="557" ht="15.75" customHeight="1">
      <c r="P557" s="78"/>
      <c r="Q557" s="78"/>
      <c r="R557" s="78"/>
      <c r="S557" s="78"/>
      <c r="T557" s="78"/>
      <c r="U557" s="78"/>
      <c r="V557" s="78"/>
    </row>
    <row r="558" ht="15.75" customHeight="1">
      <c r="P558" s="78"/>
      <c r="Q558" s="78"/>
      <c r="R558" s="78"/>
      <c r="S558" s="78"/>
      <c r="T558" s="78"/>
      <c r="U558" s="78"/>
      <c r="V558" s="78"/>
    </row>
    <row r="559" ht="15.75" customHeight="1">
      <c r="P559" s="78"/>
      <c r="Q559" s="78"/>
      <c r="R559" s="78"/>
      <c r="S559" s="78"/>
      <c r="T559" s="78"/>
      <c r="U559" s="78"/>
      <c r="V559" s="78"/>
    </row>
    <row r="560" ht="15.75" customHeight="1">
      <c r="P560" s="78"/>
      <c r="Q560" s="78"/>
      <c r="R560" s="78"/>
      <c r="S560" s="78"/>
      <c r="T560" s="78"/>
      <c r="U560" s="78"/>
      <c r="V560" s="78"/>
    </row>
    <row r="561" ht="15.75" customHeight="1">
      <c r="P561" s="78"/>
      <c r="Q561" s="78"/>
      <c r="R561" s="78"/>
      <c r="S561" s="78"/>
      <c r="T561" s="78"/>
      <c r="U561" s="78"/>
      <c r="V561" s="78"/>
    </row>
    <row r="562" ht="15.75" customHeight="1">
      <c r="P562" s="78"/>
      <c r="Q562" s="78"/>
      <c r="R562" s="78"/>
      <c r="S562" s="78"/>
      <c r="T562" s="78"/>
      <c r="U562" s="78"/>
      <c r="V562" s="78"/>
    </row>
    <row r="563" ht="15.75" customHeight="1">
      <c r="P563" s="78"/>
      <c r="Q563" s="78"/>
      <c r="R563" s="78"/>
      <c r="S563" s="78"/>
      <c r="T563" s="78"/>
      <c r="U563" s="78"/>
      <c r="V563" s="78"/>
    </row>
    <row r="564" ht="15.75" customHeight="1">
      <c r="P564" s="78"/>
      <c r="Q564" s="78"/>
      <c r="R564" s="78"/>
      <c r="S564" s="78"/>
      <c r="T564" s="78"/>
      <c r="U564" s="78"/>
      <c r="V564" s="78"/>
    </row>
    <row r="565" ht="15.75" customHeight="1">
      <c r="P565" s="78"/>
      <c r="Q565" s="78"/>
      <c r="R565" s="78"/>
      <c r="S565" s="78"/>
      <c r="T565" s="78"/>
      <c r="U565" s="78"/>
      <c r="V565" s="78"/>
    </row>
    <row r="566" ht="15.75" customHeight="1">
      <c r="P566" s="78"/>
      <c r="Q566" s="78"/>
      <c r="R566" s="78"/>
      <c r="S566" s="78"/>
      <c r="T566" s="78"/>
      <c r="U566" s="78"/>
      <c r="V566" s="78"/>
    </row>
    <row r="567" ht="15.75" customHeight="1">
      <c r="P567" s="78"/>
      <c r="Q567" s="78"/>
      <c r="R567" s="78"/>
      <c r="S567" s="78"/>
      <c r="T567" s="78"/>
      <c r="U567" s="78"/>
      <c r="V567" s="78"/>
    </row>
    <row r="568" ht="15.75" customHeight="1">
      <c r="P568" s="78"/>
      <c r="Q568" s="78"/>
      <c r="R568" s="78"/>
      <c r="S568" s="78"/>
      <c r="T568" s="78"/>
      <c r="U568" s="78"/>
      <c r="V568" s="78"/>
    </row>
    <row r="569" ht="15.75" customHeight="1">
      <c r="P569" s="78"/>
      <c r="Q569" s="78"/>
      <c r="R569" s="78"/>
      <c r="S569" s="78"/>
      <c r="T569" s="78"/>
      <c r="U569" s="78"/>
      <c r="V569" s="78"/>
    </row>
    <row r="570" ht="15.75" customHeight="1">
      <c r="P570" s="78"/>
      <c r="Q570" s="78"/>
      <c r="R570" s="78"/>
      <c r="S570" s="78"/>
      <c r="T570" s="78"/>
      <c r="U570" s="78"/>
      <c r="V570" s="78"/>
    </row>
    <row r="571" ht="15.75" customHeight="1">
      <c r="P571" s="78"/>
      <c r="Q571" s="78"/>
      <c r="R571" s="78"/>
      <c r="S571" s="78"/>
      <c r="T571" s="78"/>
      <c r="U571" s="78"/>
      <c r="V571" s="78"/>
    </row>
    <row r="572" ht="15.75" customHeight="1">
      <c r="P572" s="78"/>
      <c r="Q572" s="78"/>
      <c r="R572" s="78"/>
      <c r="S572" s="78"/>
      <c r="T572" s="78"/>
      <c r="U572" s="78"/>
      <c r="V572" s="78"/>
    </row>
    <row r="573" ht="15.75" customHeight="1">
      <c r="P573" s="78"/>
      <c r="Q573" s="78"/>
      <c r="R573" s="78"/>
      <c r="S573" s="78"/>
      <c r="T573" s="78"/>
      <c r="U573" s="78"/>
      <c r="V573" s="78"/>
    </row>
    <row r="574" ht="15.75" customHeight="1">
      <c r="P574" s="78"/>
      <c r="Q574" s="78"/>
      <c r="R574" s="78"/>
      <c r="S574" s="78"/>
      <c r="T574" s="78"/>
      <c r="U574" s="78"/>
      <c r="V574" s="78"/>
    </row>
    <row r="575" ht="15.75" customHeight="1">
      <c r="P575" s="78"/>
      <c r="Q575" s="78"/>
      <c r="R575" s="78"/>
      <c r="S575" s="78"/>
      <c r="T575" s="78"/>
      <c r="U575" s="78"/>
      <c r="V575" s="78"/>
    </row>
    <row r="576" ht="15.75" customHeight="1">
      <c r="P576" s="78"/>
      <c r="Q576" s="78"/>
      <c r="R576" s="78"/>
      <c r="S576" s="78"/>
      <c r="T576" s="78"/>
      <c r="U576" s="78"/>
      <c r="V576" s="78"/>
    </row>
    <row r="577" ht="15.75" customHeight="1">
      <c r="P577" s="78"/>
      <c r="Q577" s="78"/>
      <c r="R577" s="78"/>
      <c r="S577" s="78"/>
      <c r="T577" s="78"/>
      <c r="U577" s="78"/>
      <c r="V577" s="78"/>
    </row>
    <row r="578" ht="15.75" customHeight="1">
      <c r="P578" s="78"/>
      <c r="Q578" s="78"/>
      <c r="R578" s="78"/>
      <c r="S578" s="78"/>
      <c r="T578" s="78"/>
      <c r="U578" s="78"/>
      <c r="V578" s="78"/>
    </row>
    <row r="579" ht="15.75" customHeight="1">
      <c r="P579" s="78"/>
      <c r="Q579" s="78"/>
      <c r="R579" s="78"/>
      <c r="S579" s="78"/>
      <c r="T579" s="78"/>
      <c r="U579" s="78"/>
      <c r="V579" s="78"/>
    </row>
    <row r="580" ht="15.75" customHeight="1">
      <c r="P580" s="78"/>
      <c r="Q580" s="78"/>
      <c r="R580" s="78"/>
      <c r="S580" s="78"/>
      <c r="T580" s="78"/>
      <c r="U580" s="78"/>
      <c r="V580" s="78"/>
    </row>
    <row r="581" ht="15.75" customHeight="1">
      <c r="P581" s="78"/>
      <c r="Q581" s="78"/>
      <c r="R581" s="78"/>
      <c r="S581" s="78"/>
      <c r="T581" s="78"/>
      <c r="U581" s="78"/>
      <c r="V581" s="78"/>
    </row>
    <row r="582" ht="15.75" customHeight="1">
      <c r="P582" s="78"/>
      <c r="Q582" s="78"/>
      <c r="R582" s="78"/>
      <c r="S582" s="78"/>
      <c r="T582" s="78"/>
      <c r="U582" s="78"/>
      <c r="V582" s="78"/>
    </row>
    <row r="583" ht="15.75" customHeight="1">
      <c r="P583" s="78"/>
      <c r="Q583" s="78"/>
      <c r="R583" s="78"/>
      <c r="S583" s="78"/>
      <c r="T583" s="78"/>
      <c r="U583" s="78"/>
      <c r="V583" s="78"/>
    </row>
    <row r="584" ht="15.75" customHeight="1">
      <c r="P584" s="78"/>
      <c r="Q584" s="78"/>
      <c r="R584" s="78"/>
      <c r="S584" s="78"/>
      <c r="T584" s="78"/>
      <c r="U584" s="78"/>
      <c r="V584" s="78"/>
    </row>
    <row r="585" ht="15.75" customHeight="1">
      <c r="P585" s="78"/>
      <c r="Q585" s="78"/>
      <c r="R585" s="78"/>
      <c r="S585" s="78"/>
      <c r="T585" s="78"/>
      <c r="U585" s="78"/>
      <c r="V585" s="78"/>
    </row>
    <row r="586" ht="15.75" customHeight="1">
      <c r="P586" s="78"/>
      <c r="Q586" s="78"/>
      <c r="R586" s="78"/>
      <c r="S586" s="78"/>
      <c r="T586" s="78"/>
      <c r="U586" s="78"/>
      <c r="V586" s="78"/>
    </row>
    <row r="587" ht="15.75" customHeight="1">
      <c r="P587" s="78"/>
      <c r="Q587" s="78"/>
      <c r="R587" s="78"/>
      <c r="S587" s="78"/>
      <c r="T587" s="78"/>
      <c r="U587" s="78"/>
      <c r="V587" s="78"/>
    </row>
    <row r="588" ht="15.75" customHeight="1">
      <c r="P588" s="78"/>
      <c r="Q588" s="78"/>
      <c r="R588" s="78"/>
      <c r="S588" s="78"/>
      <c r="T588" s="78"/>
      <c r="U588" s="78"/>
      <c r="V588" s="78"/>
    </row>
    <row r="589" ht="15.75" customHeight="1">
      <c r="P589" s="78"/>
      <c r="Q589" s="78"/>
      <c r="R589" s="78"/>
      <c r="S589" s="78"/>
      <c r="T589" s="78"/>
      <c r="U589" s="78"/>
      <c r="V589" s="78"/>
    </row>
    <row r="590" ht="15.75" customHeight="1">
      <c r="P590" s="78"/>
      <c r="Q590" s="78"/>
      <c r="R590" s="78"/>
      <c r="S590" s="78"/>
      <c r="T590" s="78"/>
      <c r="U590" s="78"/>
      <c r="V590" s="78"/>
    </row>
    <row r="591" ht="15.75" customHeight="1">
      <c r="P591" s="78"/>
      <c r="Q591" s="78"/>
      <c r="R591" s="78"/>
      <c r="S591" s="78"/>
      <c r="T591" s="78"/>
      <c r="U591" s="78"/>
      <c r="V591" s="78"/>
    </row>
    <row r="592" ht="15.75" customHeight="1">
      <c r="P592" s="78"/>
      <c r="Q592" s="78"/>
      <c r="R592" s="78"/>
      <c r="S592" s="78"/>
      <c r="T592" s="78"/>
      <c r="U592" s="78"/>
      <c r="V592" s="78"/>
    </row>
    <row r="593" ht="15.75" customHeight="1">
      <c r="P593" s="78"/>
      <c r="Q593" s="78"/>
      <c r="R593" s="78"/>
      <c r="S593" s="78"/>
      <c r="T593" s="78"/>
      <c r="U593" s="78"/>
      <c r="V593" s="78"/>
    </row>
    <row r="594" ht="15.75" customHeight="1">
      <c r="P594" s="78"/>
      <c r="Q594" s="78"/>
      <c r="R594" s="78"/>
      <c r="S594" s="78"/>
      <c r="T594" s="78"/>
      <c r="U594" s="78"/>
      <c r="V594" s="78"/>
    </row>
    <row r="595" ht="15.75" customHeight="1">
      <c r="P595" s="78"/>
      <c r="Q595" s="78"/>
      <c r="R595" s="78"/>
      <c r="S595" s="78"/>
      <c r="T595" s="78"/>
      <c r="U595" s="78"/>
      <c r="V595" s="78"/>
    </row>
    <row r="596" ht="15.75" customHeight="1">
      <c r="P596" s="78"/>
      <c r="Q596" s="78"/>
      <c r="R596" s="78"/>
      <c r="S596" s="78"/>
      <c r="T596" s="78"/>
      <c r="U596" s="78"/>
      <c r="V596" s="78"/>
    </row>
    <row r="597" ht="15.75" customHeight="1">
      <c r="P597" s="78"/>
      <c r="Q597" s="78"/>
      <c r="R597" s="78"/>
      <c r="S597" s="78"/>
      <c r="T597" s="78"/>
      <c r="U597" s="78"/>
      <c r="V597" s="78"/>
    </row>
    <row r="598" ht="15.75" customHeight="1">
      <c r="P598" s="78"/>
      <c r="Q598" s="78"/>
      <c r="R598" s="78"/>
      <c r="S598" s="78"/>
      <c r="T598" s="78"/>
      <c r="U598" s="78"/>
      <c r="V598" s="78"/>
    </row>
    <row r="599" ht="15.75" customHeight="1">
      <c r="P599" s="78"/>
      <c r="Q599" s="78"/>
      <c r="R599" s="78"/>
      <c r="S599" s="78"/>
      <c r="T599" s="78"/>
      <c r="U599" s="78"/>
      <c r="V599" s="78"/>
    </row>
    <row r="600" ht="15.75" customHeight="1">
      <c r="P600" s="78"/>
      <c r="Q600" s="78"/>
      <c r="R600" s="78"/>
      <c r="S600" s="78"/>
      <c r="T600" s="78"/>
      <c r="U600" s="78"/>
      <c r="V600" s="78"/>
    </row>
    <row r="601" ht="15.75" customHeight="1">
      <c r="P601" s="78"/>
      <c r="Q601" s="78"/>
      <c r="R601" s="78"/>
      <c r="S601" s="78"/>
      <c r="T601" s="78"/>
      <c r="U601" s="78"/>
      <c r="V601" s="78"/>
    </row>
    <row r="602" ht="15.75" customHeight="1">
      <c r="P602" s="78"/>
      <c r="Q602" s="78"/>
      <c r="R602" s="78"/>
      <c r="S602" s="78"/>
      <c r="T602" s="78"/>
      <c r="U602" s="78"/>
      <c r="V602" s="78"/>
    </row>
    <row r="603" ht="15.75" customHeight="1">
      <c r="P603" s="78"/>
      <c r="Q603" s="78"/>
      <c r="R603" s="78"/>
      <c r="S603" s="78"/>
      <c r="T603" s="78"/>
      <c r="U603" s="78"/>
      <c r="V603" s="78"/>
    </row>
    <row r="604" ht="15.75" customHeight="1">
      <c r="P604" s="78"/>
      <c r="Q604" s="78"/>
      <c r="R604" s="78"/>
      <c r="S604" s="78"/>
      <c r="T604" s="78"/>
      <c r="U604" s="78"/>
      <c r="V604" s="78"/>
    </row>
    <row r="605" ht="15.75" customHeight="1">
      <c r="P605" s="78"/>
      <c r="Q605" s="78"/>
      <c r="R605" s="78"/>
      <c r="S605" s="78"/>
      <c r="T605" s="78"/>
      <c r="U605" s="78"/>
      <c r="V605" s="78"/>
    </row>
    <row r="606" ht="15.75" customHeight="1">
      <c r="P606" s="78"/>
      <c r="Q606" s="78"/>
      <c r="R606" s="78"/>
      <c r="S606" s="78"/>
      <c r="T606" s="78"/>
      <c r="U606" s="78"/>
      <c r="V606" s="78"/>
    </row>
    <row r="607" ht="15.75" customHeight="1">
      <c r="P607" s="78"/>
      <c r="Q607" s="78"/>
      <c r="R607" s="78"/>
      <c r="S607" s="78"/>
      <c r="T607" s="78"/>
      <c r="U607" s="78"/>
      <c r="V607" s="78"/>
    </row>
    <row r="608" ht="15.75" customHeight="1">
      <c r="P608" s="78"/>
      <c r="Q608" s="78"/>
      <c r="R608" s="78"/>
      <c r="S608" s="78"/>
      <c r="T608" s="78"/>
      <c r="U608" s="78"/>
      <c r="V608" s="78"/>
    </row>
    <row r="609" ht="15.75" customHeight="1">
      <c r="P609" s="78"/>
      <c r="Q609" s="78"/>
      <c r="R609" s="78"/>
      <c r="S609" s="78"/>
      <c r="T609" s="78"/>
      <c r="U609" s="78"/>
      <c r="V609" s="78"/>
    </row>
    <row r="610" ht="15.75" customHeight="1">
      <c r="P610" s="78"/>
      <c r="Q610" s="78"/>
      <c r="R610" s="78"/>
      <c r="S610" s="78"/>
      <c r="T610" s="78"/>
      <c r="U610" s="78"/>
      <c r="V610" s="78"/>
    </row>
    <row r="611" ht="15.75" customHeight="1">
      <c r="P611" s="78"/>
      <c r="Q611" s="78"/>
      <c r="R611" s="78"/>
      <c r="S611" s="78"/>
      <c r="T611" s="78"/>
      <c r="U611" s="78"/>
      <c r="V611" s="78"/>
    </row>
    <row r="612" ht="15.75" customHeight="1">
      <c r="P612" s="78"/>
      <c r="Q612" s="78"/>
      <c r="R612" s="78"/>
      <c r="S612" s="78"/>
      <c r="T612" s="78"/>
      <c r="U612" s="78"/>
      <c r="V612" s="78"/>
    </row>
    <row r="613" ht="15.75" customHeight="1">
      <c r="P613" s="78"/>
      <c r="Q613" s="78"/>
      <c r="R613" s="78"/>
      <c r="S613" s="78"/>
      <c r="T613" s="78"/>
      <c r="U613" s="78"/>
      <c r="V613" s="78"/>
    </row>
    <row r="614" ht="15.75" customHeight="1">
      <c r="P614" s="78"/>
      <c r="Q614" s="78"/>
      <c r="R614" s="78"/>
      <c r="S614" s="78"/>
      <c r="T614" s="78"/>
      <c r="U614" s="78"/>
      <c r="V614" s="78"/>
    </row>
    <row r="615" ht="15.75" customHeight="1">
      <c r="P615" s="78"/>
      <c r="Q615" s="78"/>
      <c r="R615" s="78"/>
      <c r="S615" s="78"/>
      <c r="T615" s="78"/>
      <c r="U615" s="78"/>
      <c r="V615" s="78"/>
    </row>
    <row r="616" ht="15.75" customHeight="1">
      <c r="P616" s="78"/>
      <c r="Q616" s="78"/>
      <c r="R616" s="78"/>
      <c r="S616" s="78"/>
      <c r="T616" s="78"/>
      <c r="U616" s="78"/>
      <c r="V616" s="78"/>
    </row>
    <row r="617" ht="15.75" customHeight="1">
      <c r="P617" s="78"/>
      <c r="Q617" s="78"/>
      <c r="R617" s="78"/>
      <c r="S617" s="78"/>
      <c r="T617" s="78"/>
      <c r="U617" s="78"/>
      <c r="V617" s="78"/>
    </row>
    <row r="618" ht="15.75" customHeight="1">
      <c r="P618" s="78"/>
      <c r="Q618" s="78"/>
      <c r="R618" s="78"/>
      <c r="S618" s="78"/>
      <c r="T618" s="78"/>
      <c r="U618" s="78"/>
      <c r="V618" s="78"/>
    </row>
    <row r="619" ht="15.75" customHeight="1">
      <c r="P619" s="78"/>
      <c r="Q619" s="78"/>
      <c r="R619" s="78"/>
      <c r="S619" s="78"/>
      <c r="T619" s="78"/>
      <c r="U619" s="78"/>
      <c r="V619" s="78"/>
    </row>
    <row r="620" ht="15.75" customHeight="1">
      <c r="P620" s="78"/>
      <c r="Q620" s="78"/>
      <c r="R620" s="78"/>
      <c r="S620" s="78"/>
      <c r="T620" s="78"/>
      <c r="U620" s="78"/>
      <c r="V620" s="78"/>
    </row>
    <row r="621" ht="15.75" customHeight="1">
      <c r="P621" s="78"/>
      <c r="Q621" s="78"/>
      <c r="R621" s="78"/>
      <c r="S621" s="78"/>
      <c r="T621" s="78"/>
      <c r="U621" s="78"/>
      <c r="V621" s="78"/>
    </row>
    <row r="622" ht="15.75" customHeight="1">
      <c r="P622" s="78"/>
      <c r="Q622" s="78"/>
      <c r="R622" s="78"/>
      <c r="S622" s="78"/>
      <c r="T622" s="78"/>
      <c r="U622" s="78"/>
      <c r="V622" s="78"/>
    </row>
    <row r="623" ht="15.75" customHeight="1">
      <c r="P623" s="78"/>
      <c r="Q623" s="78"/>
      <c r="R623" s="78"/>
      <c r="S623" s="78"/>
      <c r="T623" s="78"/>
      <c r="U623" s="78"/>
      <c r="V623" s="78"/>
    </row>
    <row r="624" ht="15.75" customHeight="1">
      <c r="P624" s="78"/>
      <c r="Q624" s="78"/>
      <c r="R624" s="78"/>
      <c r="S624" s="78"/>
      <c r="T624" s="78"/>
      <c r="U624" s="78"/>
      <c r="V624" s="78"/>
    </row>
    <row r="625" ht="15.75" customHeight="1">
      <c r="P625" s="78"/>
      <c r="Q625" s="78"/>
      <c r="R625" s="78"/>
      <c r="S625" s="78"/>
      <c r="T625" s="78"/>
      <c r="U625" s="78"/>
      <c r="V625" s="78"/>
    </row>
    <row r="626" ht="15.75" customHeight="1">
      <c r="P626" s="78"/>
      <c r="Q626" s="78"/>
      <c r="R626" s="78"/>
      <c r="S626" s="78"/>
      <c r="T626" s="78"/>
      <c r="U626" s="78"/>
      <c r="V626" s="78"/>
    </row>
    <row r="627" ht="15.75" customHeight="1">
      <c r="P627" s="78"/>
      <c r="Q627" s="78"/>
      <c r="R627" s="78"/>
      <c r="S627" s="78"/>
      <c r="T627" s="78"/>
      <c r="U627" s="78"/>
      <c r="V627" s="78"/>
    </row>
    <row r="628" ht="15.75" customHeight="1">
      <c r="P628" s="78"/>
      <c r="Q628" s="78"/>
      <c r="R628" s="78"/>
      <c r="S628" s="78"/>
      <c r="T628" s="78"/>
      <c r="U628" s="78"/>
      <c r="V628" s="78"/>
    </row>
    <row r="629" ht="15.75" customHeight="1">
      <c r="P629" s="78"/>
      <c r="Q629" s="78"/>
      <c r="R629" s="78"/>
      <c r="S629" s="78"/>
      <c r="T629" s="78"/>
      <c r="U629" s="78"/>
      <c r="V629" s="78"/>
    </row>
    <row r="630" ht="15.75" customHeight="1">
      <c r="P630" s="78"/>
      <c r="Q630" s="78"/>
      <c r="R630" s="78"/>
      <c r="S630" s="78"/>
      <c r="T630" s="78"/>
      <c r="U630" s="78"/>
      <c r="V630" s="78"/>
    </row>
    <row r="631" ht="15.75" customHeight="1">
      <c r="P631" s="78"/>
      <c r="Q631" s="78"/>
      <c r="R631" s="78"/>
      <c r="S631" s="78"/>
      <c r="T631" s="78"/>
      <c r="U631" s="78"/>
      <c r="V631" s="78"/>
    </row>
    <row r="632" ht="15.75" customHeight="1">
      <c r="P632" s="78"/>
      <c r="Q632" s="78"/>
      <c r="R632" s="78"/>
      <c r="S632" s="78"/>
      <c r="T632" s="78"/>
      <c r="U632" s="78"/>
      <c r="V632" s="78"/>
    </row>
    <row r="633" ht="15.75" customHeight="1">
      <c r="P633" s="78"/>
      <c r="Q633" s="78"/>
      <c r="R633" s="78"/>
      <c r="S633" s="78"/>
      <c r="T633" s="78"/>
      <c r="U633" s="78"/>
      <c r="V633" s="78"/>
    </row>
    <row r="634" ht="15.75" customHeight="1">
      <c r="P634" s="78"/>
      <c r="Q634" s="78"/>
      <c r="R634" s="78"/>
      <c r="S634" s="78"/>
      <c r="T634" s="78"/>
      <c r="U634" s="78"/>
      <c r="V634" s="78"/>
    </row>
    <row r="635" ht="15.75" customHeight="1">
      <c r="P635" s="78"/>
      <c r="Q635" s="78"/>
      <c r="R635" s="78"/>
      <c r="S635" s="78"/>
      <c r="T635" s="78"/>
      <c r="U635" s="78"/>
      <c r="V635" s="78"/>
    </row>
    <row r="636" ht="15.75" customHeight="1">
      <c r="P636" s="78"/>
      <c r="Q636" s="78"/>
      <c r="R636" s="78"/>
      <c r="S636" s="78"/>
      <c r="T636" s="78"/>
      <c r="U636" s="78"/>
      <c r="V636" s="78"/>
    </row>
    <row r="637" ht="15.75" customHeight="1">
      <c r="P637" s="78"/>
      <c r="Q637" s="78"/>
      <c r="R637" s="78"/>
      <c r="S637" s="78"/>
      <c r="T637" s="78"/>
      <c r="U637" s="78"/>
      <c r="V637" s="78"/>
    </row>
    <row r="638" ht="15.75" customHeight="1">
      <c r="P638" s="78"/>
      <c r="Q638" s="78"/>
      <c r="R638" s="78"/>
      <c r="S638" s="78"/>
      <c r="T638" s="78"/>
      <c r="U638" s="78"/>
      <c r="V638" s="78"/>
    </row>
    <row r="639" ht="15.75" customHeight="1">
      <c r="P639" s="78"/>
      <c r="Q639" s="78"/>
      <c r="R639" s="78"/>
      <c r="S639" s="78"/>
      <c r="T639" s="78"/>
      <c r="U639" s="78"/>
      <c r="V639" s="78"/>
    </row>
    <row r="640" ht="15.75" customHeight="1">
      <c r="P640" s="78"/>
      <c r="Q640" s="78"/>
      <c r="R640" s="78"/>
      <c r="S640" s="78"/>
      <c r="T640" s="78"/>
      <c r="U640" s="78"/>
      <c r="V640" s="78"/>
    </row>
    <row r="641" ht="15.75" customHeight="1">
      <c r="P641" s="78"/>
      <c r="Q641" s="78"/>
      <c r="R641" s="78"/>
      <c r="S641" s="78"/>
      <c r="T641" s="78"/>
      <c r="U641" s="78"/>
      <c r="V641" s="78"/>
    </row>
    <row r="642" ht="15.75" customHeight="1">
      <c r="P642" s="78"/>
      <c r="Q642" s="78"/>
      <c r="R642" s="78"/>
      <c r="S642" s="78"/>
      <c r="T642" s="78"/>
      <c r="U642" s="78"/>
      <c r="V642" s="78"/>
    </row>
    <row r="643" ht="15.75" customHeight="1">
      <c r="P643" s="78"/>
      <c r="Q643" s="78"/>
      <c r="R643" s="78"/>
      <c r="S643" s="78"/>
      <c r="T643" s="78"/>
      <c r="U643" s="78"/>
      <c r="V643" s="78"/>
    </row>
    <row r="644" ht="15.75" customHeight="1">
      <c r="P644" s="78"/>
      <c r="Q644" s="78"/>
      <c r="R644" s="78"/>
      <c r="S644" s="78"/>
      <c r="T644" s="78"/>
      <c r="U644" s="78"/>
      <c r="V644" s="78"/>
    </row>
    <row r="645" ht="15.75" customHeight="1">
      <c r="P645" s="78"/>
      <c r="Q645" s="78"/>
      <c r="R645" s="78"/>
      <c r="S645" s="78"/>
      <c r="T645" s="78"/>
      <c r="U645" s="78"/>
      <c r="V645" s="78"/>
    </row>
    <row r="646" ht="15.75" customHeight="1">
      <c r="P646" s="78"/>
      <c r="Q646" s="78"/>
      <c r="R646" s="78"/>
      <c r="S646" s="78"/>
      <c r="T646" s="78"/>
      <c r="U646" s="78"/>
      <c r="V646" s="78"/>
    </row>
    <row r="647" ht="15.75" customHeight="1">
      <c r="P647" s="78"/>
      <c r="Q647" s="78"/>
      <c r="R647" s="78"/>
      <c r="S647" s="78"/>
      <c r="T647" s="78"/>
      <c r="U647" s="78"/>
      <c r="V647" s="78"/>
    </row>
    <row r="648" ht="15.75" customHeight="1">
      <c r="P648" s="78"/>
      <c r="Q648" s="78"/>
      <c r="R648" s="78"/>
      <c r="S648" s="78"/>
      <c r="T648" s="78"/>
      <c r="U648" s="78"/>
      <c r="V648" s="78"/>
    </row>
    <row r="649" ht="15.75" customHeight="1">
      <c r="P649" s="78"/>
      <c r="Q649" s="78"/>
      <c r="R649" s="78"/>
      <c r="S649" s="78"/>
      <c r="T649" s="78"/>
      <c r="U649" s="78"/>
      <c r="V649" s="78"/>
    </row>
    <row r="650" ht="15.75" customHeight="1">
      <c r="P650" s="78"/>
      <c r="Q650" s="78"/>
      <c r="R650" s="78"/>
      <c r="S650" s="78"/>
      <c r="T650" s="78"/>
      <c r="U650" s="78"/>
      <c r="V650" s="78"/>
    </row>
    <row r="651" ht="15.75" customHeight="1">
      <c r="P651" s="78"/>
      <c r="Q651" s="78"/>
      <c r="R651" s="78"/>
      <c r="S651" s="78"/>
      <c r="T651" s="78"/>
      <c r="U651" s="78"/>
      <c r="V651" s="78"/>
    </row>
    <row r="652" ht="15.75" customHeight="1">
      <c r="P652" s="78"/>
      <c r="Q652" s="78"/>
      <c r="R652" s="78"/>
      <c r="S652" s="78"/>
      <c r="T652" s="78"/>
      <c r="U652" s="78"/>
      <c r="V652" s="78"/>
    </row>
    <row r="653" ht="15.75" customHeight="1">
      <c r="P653" s="78"/>
      <c r="Q653" s="78"/>
      <c r="R653" s="78"/>
      <c r="S653" s="78"/>
      <c r="T653" s="78"/>
      <c r="U653" s="78"/>
      <c r="V653" s="78"/>
    </row>
    <row r="654" ht="15.75" customHeight="1">
      <c r="P654" s="78"/>
      <c r="Q654" s="78"/>
      <c r="R654" s="78"/>
      <c r="S654" s="78"/>
      <c r="T654" s="78"/>
      <c r="U654" s="78"/>
      <c r="V654" s="78"/>
    </row>
    <row r="655" ht="15.75" customHeight="1">
      <c r="P655" s="78"/>
      <c r="Q655" s="78"/>
      <c r="R655" s="78"/>
      <c r="S655" s="78"/>
      <c r="T655" s="78"/>
      <c r="U655" s="78"/>
      <c r="V655" s="78"/>
    </row>
    <row r="656" ht="15.75" customHeight="1">
      <c r="P656" s="78"/>
      <c r="Q656" s="78"/>
      <c r="R656" s="78"/>
      <c r="S656" s="78"/>
      <c r="T656" s="78"/>
      <c r="U656" s="78"/>
      <c r="V656" s="78"/>
    </row>
    <row r="657" ht="15.75" customHeight="1">
      <c r="P657" s="78"/>
      <c r="Q657" s="78"/>
      <c r="R657" s="78"/>
      <c r="S657" s="78"/>
      <c r="T657" s="78"/>
      <c r="U657" s="78"/>
      <c r="V657" s="78"/>
    </row>
    <row r="658" ht="15.75" customHeight="1">
      <c r="P658" s="78"/>
      <c r="Q658" s="78"/>
      <c r="R658" s="78"/>
      <c r="S658" s="78"/>
      <c r="T658" s="78"/>
      <c r="U658" s="78"/>
      <c r="V658" s="78"/>
    </row>
    <row r="659" ht="15.75" customHeight="1">
      <c r="P659" s="78"/>
      <c r="Q659" s="78"/>
      <c r="R659" s="78"/>
      <c r="S659" s="78"/>
      <c r="T659" s="78"/>
      <c r="U659" s="78"/>
      <c r="V659" s="78"/>
    </row>
    <row r="660" ht="15.75" customHeight="1">
      <c r="P660" s="78"/>
      <c r="Q660" s="78"/>
      <c r="R660" s="78"/>
      <c r="S660" s="78"/>
      <c r="T660" s="78"/>
      <c r="U660" s="78"/>
      <c r="V660" s="78"/>
    </row>
    <row r="661" ht="15.75" customHeight="1">
      <c r="P661" s="78"/>
      <c r="Q661" s="78"/>
      <c r="R661" s="78"/>
      <c r="S661" s="78"/>
      <c r="T661" s="78"/>
      <c r="U661" s="78"/>
      <c r="V661" s="78"/>
    </row>
    <row r="662" ht="15.75" customHeight="1">
      <c r="P662" s="78"/>
      <c r="Q662" s="78"/>
      <c r="R662" s="78"/>
      <c r="S662" s="78"/>
      <c r="T662" s="78"/>
      <c r="U662" s="78"/>
      <c r="V662" s="78"/>
    </row>
    <row r="663" ht="15.75" customHeight="1">
      <c r="P663" s="78"/>
      <c r="Q663" s="78"/>
      <c r="R663" s="78"/>
      <c r="S663" s="78"/>
      <c r="T663" s="78"/>
      <c r="U663" s="78"/>
      <c r="V663" s="78"/>
    </row>
    <row r="664" ht="15.75" customHeight="1">
      <c r="P664" s="78"/>
      <c r="Q664" s="78"/>
      <c r="R664" s="78"/>
      <c r="S664" s="78"/>
      <c r="T664" s="78"/>
      <c r="U664" s="78"/>
      <c r="V664" s="78"/>
    </row>
    <row r="665" ht="15.75" customHeight="1">
      <c r="P665" s="78"/>
      <c r="Q665" s="78"/>
      <c r="R665" s="78"/>
      <c r="S665" s="78"/>
      <c r="T665" s="78"/>
      <c r="U665" s="78"/>
      <c r="V665" s="78"/>
    </row>
    <row r="666" ht="15.75" customHeight="1">
      <c r="P666" s="78"/>
      <c r="Q666" s="78"/>
      <c r="R666" s="78"/>
      <c r="S666" s="78"/>
      <c r="T666" s="78"/>
      <c r="U666" s="78"/>
      <c r="V666" s="78"/>
    </row>
    <row r="667" ht="15.75" customHeight="1">
      <c r="P667" s="78"/>
      <c r="Q667" s="78"/>
      <c r="R667" s="78"/>
      <c r="S667" s="78"/>
      <c r="T667" s="78"/>
      <c r="U667" s="78"/>
      <c r="V667" s="78"/>
    </row>
    <row r="668" ht="15.75" customHeight="1">
      <c r="P668" s="78"/>
      <c r="Q668" s="78"/>
      <c r="R668" s="78"/>
      <c r="S668" s="78"/>
      <c r="T668" s="78"/>
      <c r="U668" s="78"/>
      <c r="V668" s="78"/>
    </row>
    <row r="669" ht="15.75" customHeight="1">
      <c r="P669" s="78"/>
      <c r="Q669" s="78"/>
      <c r="R669" s="78"/>
      <c r="S669" s="78"/>
      <c r="T669" s="78"/>
      <c r="U669" s="78"/>
      <c r="V669" s="78"/>
    </row>
    <row r="670" ht="15.75" customHeight="1">
      <c r="P670" s="78"/>
      <c r="Q670" s="78"/>
      <c r="R670" s="78"/>
      <c r="S670" s="78"/>
      <c r="T670" s="78"/>
      <c r="U670" s="78"/>
      <c r="V670" s="78"/>
    </row>
    <row r="671" ht="15.75" customHeight="1">
      <c r="P671" s="78"/>
      <c r="Q671" s="78"/>
      <c r="R671" s="78"/>
      <c r="S671" s="78"/>
      <c r="T671" s="78"/>
      <c r="U671" s="78"/>
      <c r="V671" s="78"/>
    </row>
    <row r="672" ht="15.75" customHeight="1">
      <c r="P672" s="78"/>
      <c r="Q672" s="78"/>
      <c r="R672" s="78"/>
      <c r="S672" s="78"/>
      <c r="T672" s="78"/>
      <c r="U672" s="78"/>
      <c r="V672" s="78"/>
    </row>
    <row r="673" ht="15.75" customHeight="1">
      <c r="P673" s="78"/>
      <c r="Q673" s="78"/>
      <c r="R673" s="78"/>
      <c r="S673" s="78"/>
      <c r="T673" s="78"/>
      <c r="U673" s="78"/>
      <c r="V673" s="78"/>
    </row>
    <row r="674" ht="15.75" customHeight="1">
      <c r="P674" s="78"/>
      <c r="Q674" s="78"/>
      <c r="R674" s="78"/>
      <c r="S674" s="78"/>
      <c r="T674" s="78"/>
      <c r="U674" s="78"/>
      <c r="V674" s="78"/>
    </row>
    <row r="675" ht="15.75" customHeight="1">
      <c r="P675" s="78"/>
      <c r="Q675" s="78"/>
      <c r="R675" s="78"/>
      <c r="S675" s="78"/>
      <c r="T675" s="78"/>
      <c r="U675" s="78"/>
      <c r="V675" s="78"/>
    </row>
    <row r="676" ht="15.75" customHeight="1">
      <c r="P676" s="78"/>
      <c r="Q676" s="78"/>
      <c r="R676" s="78"/>
      <c r="S676" s="78"/>
      <c r="T676" s="78"/>
      <c r="U676" s="78"/>
      <c r="V676" s="78"/>
    </row>
    <row r="677" ht="15.75" customHeight="1">
      <c r="P677" s="78"/>
      <c r="Q677" s="78"/>
      <c r="R677" s="78"/>
      <c r="S677" s="78"/>
      <c r="T677" s="78"/>
      <c r="U677" s="78"/>
      <c r="V677" s="78"/>
    </row>
    <row r="678" ht="15.75" customHeight="1">
      <c r="P678" s="78"/>
      <c r="Q678" s="78"/>
      <c r="R678" s="78"/>
      <c r="S678" s="78"/>
      <c r="T678" s="78"/>
      <c r="U678" s="78"/>
      <c r="V678" s="78"/>
    </row>
    <row r="679" ht="15.75" customHeight="1">
      <c r="P679" s="78"/>
      <c r="Q679" s="78"/>
      <c r="R679" s="78"/>
      <c r="S679" s="78"/>
      <c r="T679" s="78"/>
      <c r="U679" s="78"/>
      <c r="V679" s="78"/>
    </row>
    <row r="680" ht="15.75" customHeight="1">
      <c r="P680" s="78"/>
      <c r="Q680" s="78"/>
      <c r="R680" s="78"/>
      <c r="S680" s="78"/>
      <c r="T680" s="78"/>
      <c r="U680" s="78"/>
      <c r="V680" s="78"/>
    </row>
    <row r="681" ht="15.75" customHeight="1">
      <c r="P681" s="78"/>
      <c r="Q681" s="78"/>
      <c r="R681" s="78"/>
      <c r="S681" s="78"/>
      <c r="T681" s="78"/>
      <c r="U681" s="78"/>
      <c r="V681" s="78"/>
    </row>
    <row r="682" ht="15.75" customHeight="1">
      <c r="P682" s="78"/>
      <c r="Q682" s="78"/>
      <c r="R682" s="78"/>
      <c r="S682" s="78"/>
      <c r="T682" s="78"/>
      <c r="U682" s="78"/>
      <c r="V682" s="78"/>
    </row>
    <row r="683" ht="15.75" customHeight="1">
      <c r="P683" s="78"/>
      <c r="Q683" s="78"/>
      <c r="R683" s="78"/>
      <c r="S683" s="78"/>
      <c r="T683" s="78"/>
      <c r="U683" s="78"/>
      <c r="V683" s="78"/>
    </row>
    <row r="684" ht="15.75" customHeight="1">
      <c r="P684" s="78"/>
      <c r="Q684" s="78"/>
      <c r="R684" s="78"/>
      <c r="S684" s="78"/>
      <c r="T684" s="78"/>
      <c r="U684" s="78"/>
      <c r="V684" s="78"/>
    </row>
    <row r="685" ht="15.75" customHeight="1">
      <c r="P685" s="78"/>
      <c r="Q685" s="78"/>
      <c r="R685" s="78"/>
      <c r="S685" s="78"/>
      <c r="T685" s="78"/>
      <c r="U685" s="78"/>
      <c r="V685" s="78"/>
    </row>
    <row r="686" ht="15.75" customHeight="1">
      <c r="P686" s="78"/>
      <c r="Q686" s="78"/>
      <c r="R686" s="78"/>
      <c r="S686" s="78"/>
      <c r="T686" s="78"/>
      <c r="U686" s="78"/>
      <c r="V686" s="78"/>
    </row>
    <row r="687" ht="15.75" customHeight="1">
      <c r="P687" s="78"/>
      <c r="Q687" s="78"/>
      <c r="R687" s="78"/>
      <c r="S687" s="78"/>
      <c r="T687" s="78"/>
      <c r="U687" s="78"/>
      <c r="V687" s="78"/>
    </row>
    <row r="688" ht="15.75" customHeight="1">
      <c r="P688" s="78"/>
      <c r="Q688" s="78"/>
      <c r="R688" s="78"/>
      <c r="S688" s="78"/>
      <c r="T688" s="78"/>
      <c r="U688" s="78"/>
      <c r="V688" s="78"/>
    </row>
    <row r="689" ht="15.75" customHeight="1">
      <c r="P689" s="78"/>
      <c r="Q689" s="78"/>
      <c r="R689" s="78"/>
      <c r="S689" s="78"/>
      <c r="T689" s="78"/>
      <c r="U689" s="78"/>
      <c r="V689" s="78"/>
    </row>
    <row r="690" ht="15.75" customHeight="1">
      <c r="P690" s="78"/>
      <c r="Q690" s="78"/>
      <c r="R690" s="78"/>
      <c r="S690" s="78"/>
      <c r="T690" s="78"/>
      <c r="U690" s="78"/>
      <c r="V690" s="78"/>
    </row>
    <row r="691" ht="15.75" customHeight="1">
      <c r="P691" s="78"/>
      <c r="Q691" s="78"/>
      <c r="R691" s="78"/>
      <c r="S691" s="78"/>
      <c r="T691" s="78"/>
      <c r="U691" s="78"/>
      <c r="V691" s="78"/>
    </row>
    <row r="692" ht="15.75" customHeight="1">
      <c r="P692" s="78"/>
      <c r="Q692" s="78"/>
      <c r="R692" s="78"/>
      <c r="S692" s="78"/>
      <c r="T692" s="78"/>
      <c r="U692" s="78"/>
      <c r="V692" s="78"/>
    </row>
    <row r="693" ht="15.75" customHeight="1">
      <c r="P693" s="78"/>
      <c r="Q693" s="78"/>
      <c r="R693" s="78"/>
      <c r="S693" s="78"/>
      <c r="T693" s="78"/>
      <c r="U693" s="78"/>
      <c r="V693" s="78"/>
    </row>
    <row r="694" ht="15.75" customHeight="1">
      <c r="P694" s="78"/>
      <c r="Q694" s="78"/>
      <c r="R694" s="78"/>
      <c r="S694" s="78"/>
      <c r="T694" s="78"/>
      <c r="U694" s="78"/>
      <c r="V694" s="78"/>
    </row>
    <row r="695" ht="15.75" customHeight="1">
      <c r="P695" s="78"/>
      <c r="Q695" s="78"/>
      <c r="R695" s="78"/>
      <c r="S695" s="78"/>
      <c r="T695" s="78"/>
      <c r="U695" s="78"/>
      <c r="V695" s="78"/>
    </row>
    <row r="696" ht="15.75" customHeight="1">
      <c r="P696" s="78"/>
      <c r="Q696" s="78"/>
      <c r="R696" s="78"/>
      <c r="S696" s="78"/>
      <c r="T696" s="78"/>
      <c r="U696" s="78"/>
      <c r="V696" s="78"/>
    </row>
    <row r="697" ht="15.75" customHeight="1">
      <c r="P697" s="78"/>
      <c r="Q697" s="78"/>
      <c r="R697" s="78"/>
      <c r="S697" s="78"/>
      <c r="T697" s="78"/>
      <c r="U697" s="78"/>
      <c r="V697" s="78"/>
    </row>
    <row r="698" ht="15.75" customHeight="1">
      <c r="P698" s="78"/>
      <c r="Q698" s="78"/>
      <c r="R698" s="78"/>
      <c r="S698" s="78"/>
      <c r="T698" s="78"/>
      <c r="U698" s="78"/>
      <c r="V698" s="78"/>
    </row>
    <row r="699" ht="15.75" customHeight="1">
      <c r="P699" s="78"/>
      <c r="Q699" s="78"/>
      <c r="R699" s="78"/>
      <c r="S699" s="78"/>
      <c r="T699" s="78"/>
      <c r="U699" s="78"/>
      <c r="V699" s="78"/>
    </row>
    <row r="700" ht="15.75" customHeight="1">
      <c r="P700" s="78"/>
      <c r="Q700" s="78"/>
      <c r="R700" s="78"/>
      <c r="S700" s="78"/>
      <c r="T700" s="78"/>
      <c r="U700" s="78"/>
      <c r="V700" s="78"/>
    </row>
    <row r="701" ht="15.75" customHeight="1">
      <c r="P701" s="78"/>
      <c r="Q701" s="78"/>
      <c r="R701" s="78"/>
      <c r="S701" s="78"/>
      <c r="T701" s="78"/>
      <c r="U701" s="78"/>
      <c r="V701" s="78"/>
    </row>
    <row r="702" ht="15.75" customHeight="1">
      <c r="P702" s="78"/>
      <c r="Q702" s="78"/>
      <c r="R702" s="78"/>
      <c r="S702" s="78"/>
      <c r="T702" s="78"/>
      <c r="U702" s="78"/>
      <c r="V702" s="78"/>
    </row>
    <row r="703" ht="15.75" customHeight="1">
      <c r="P703" s="78"/>
      <c r="Q703" s="78"/>
      <c r="R703" s="78"/>
      <c r="S703" s="78"/>
      <c r="T703" s="78"/>
      <c r="U703" s="78"/>
      <c r="V703" s="78"/>
    </row>
    <row r="704" ht="15.75" customHeight="1">
      <c r="P704" s="78"/>
      <c r="Q704" s="78"/>
      <c r="R704" s="78"/>
      <c r="S704" s="78"/>
      <c r="T704" s="78"/>
      <c r="U704" s="78"/>
      <c r="V704" s="78"/>
    </row>
    <row r="705" ht="15.75" customHeight="1">
      <c r="P705" s="78"/>
      <c r="Q705" s="78"/>
      <c r="R705" s="78"/>
      <c r="S705" s="78"/>
      <c r="T705" s="78"/>
      <c r="U705" s="78"/>
      <c r="V705" s="78"/>
    </row>
    <row r="706" ht="15.75" customHeight="1">
      <c r="P706" s="78"/>
      <c r="Q706" s="78"/>
      <c r="R706" s="78"/>
      <c r="S706" s="78"/>
      <c r="T706" s="78"/>
      <c r="U706" s="78"/>
      <c r="V706" s="78"/>
    </row>
    <row r="707" ht="15.75" customHeight="1">
      <c r="P707" s="78"/>
      <c r="Q707" s="78"/>
      <c r="R707" s="78"/>
      <c r="S707" s="78"/>
      <c r="T707" s="78"/>
      <c r="U707" s="78"/>
      <c r="V707" s="78"/>
    </row>
    <row r="708" ht="15.75" customHeight="1">
      <c r="P708" s="78"/>
      <c r="Q708" s="78"/>
      <c r="R708" s="78"/>
      <c r="S708" s="78"/>
      <c r="T708" s="78"/>
      <c r="U708" s="78"/>
      <c r="V708" s="78"/>
    </row>
    <row r="709" ht="15.75" customHeight="1">
      <c r="P709" s="78"/>
      <c r="Q709" s="78"/>
      <c r="R709" s="78"/>
      <c r="S709" s="78"/>
      <c r="T709" s="78"/>
      <c r="U709" s="78"/>
      <c r="V709" s="78"/>
    </row>
    <row r="710" ht="15.75" customHeight="1">
      <c r="P710" s="78"/>
      <c r="Q710" s="78"/>
      <c r="R710" s="78"/>
      <c r="S710" s="78"/>
      <c r="T710" s="78"/>
      <c r="U710" s="78"/>
      <c r="V710" s="78"/>
    </row>
    <row r="711" ht="15.75" customHeight="1">
      <c r="P711" s="78"/>
      <c r="Q711" s="78"/>
      <c r="R711" s="78"/>
      <c r="S711" s="78"/>
      <c r="T711" s="78"/>
      <c r="U711" s="78"/>
      <c r="V711" s="78"/>
    </row>
    <row r="712" ht="15.75" customHeight="1">
      <c r="P712" s="78"/>
      <c r="Q712" s="78"/>
      <c r="R712" s="78"/>
      <c r="S712" s="78"/>
      <c r="T712" s="78"/>
      <c r="U712" s="78"/>
      <c r="V712" s="78"/>
    </row>
    <row r="713" ht="15.75" customHeight="1">
      <c r="P713" s="78"/>
      <c r="Q713" s="78"/>
      <c r="R713" s="78"/>
      <c r="S713" s="78"/>
      <c r="T713" s="78"/>
      <c r="U713" s="78"/>
      <c r="V713" s="78"/>
    </row>
    <row r="714" ht="15.75" customHeight="1">
      <c r="P714" s="78"/>
      <c r="Q714" s="78"/>
      <c r="R714" s="78"/>
      <c r="S714" s="78"/>
      <c r="T714" s="78"/>
      <c r="U714" s="78"/>
      <c r="V714" s="78"/>
    </row>
    <row r="715" ht="15.75" customHeight="1">
      <c r="P715" s="78"/>
      <c r="Q715" s="78"/>
      <c r="R715" s="78"/>
      <c r="S715" s="78"/>
      <c r="T715" s="78"/>
      <c r="U715" s="78"/>
      <c r="V715" s="78"/>
    </row>
    <row r="716" ht="15.75" customHeight="1">
      <c r="P716" s="78"/>
      <c r="Q716" s="78"/>
      <c r="R716" s="78"/>
      <c r="S716" s="78"/>
      <c r="T716" s="78"/>
      <c r="U716" s="78"/>
      <c r="V716" s="78"/>
    </row>
    <row r="717" ht="15.75" customHeight="1">
      <c r="P717" s="78"/>
      <c r="Q717" s="78"/>
      <c r="R717" s="78"/>
      <c r="S717" s="78"/>
      <c r="T717" s="78"/>
      <c r="U717" s="78"/>
      <c r="V717" s="78"/>
    </row>
    <row r="718" ht="15.75" customHeight="1">
      <c r="P718" s="78"/>
      <c r="Q718" s="78"/>
      <c r="R718" s="78"/>
      <c r="S718" s="78"/>
      <c r="T718" s="78"/>
      <c r="U718" s="78"/>
      <c r="V718" s="78"/>
    </row>
    <row r="719" ht="15.75" customHeight="1">
      <c r="P719" s="78"/>
      <c r="Q719" s="78"/>
      <c r="R719" s="78"/>
      <c r="S719" s="78"/>
      <c r="T719" s="78"/>
      <c r="U719" s="78"/>
      <c r="V719" s="78"/>
    </row>
    <row r="720" ht="15.75" customHeight="1">
      <c r="P720" s="78"/>
      <c r="Q720" s="78"/>
      <c r="R720" s="78"/>
      <c r="S720" s="78"/>
      <c r="T720" s="78"/>
      <c r="U720" s="78"/>
      <c r="V720" s="78"/>
    </row>
    <row r="721" ht="15.75" customHeight="1">
      <c r="P721" s="78"/>
      <c r="Q721" s="78"/>
      <c r="R721" s="78"/>
      <c r="S721" s="78"/>
      <c r="T721" s="78"/>
      <c r="U721" s="78"/>
      <c r="V721" s="78"/>
    </row>
    <row r="722" ht="15.75" customHeight="1">
      <c r="P722" s="78"/>
      <c r="Q722" s="78"/>
      <c r="R722" s="78"/>
      <c r="S722" s="78"/>
      <c r="T722" s="78"/>
      <c r="U722" s="78"/>
      <c r="V722" s="78"/>
    </row>
    <row r="723" ht="15.75" customHeight="1">
      <c r="P723" s="78"/>
      <c r="Q723" s="78"/>
      <c r="R723" s="78"/>
      <c r="S723" s="78"/>
      <c r="T723" s="78"/>
      <c r="U723" s="78"/>
      <c r="V723" s="78"/>
    </row>
    <row r="724" ht="15.75" customHeight="1">
      <c r="P724" s="78"/>
      <c r="Q724" s="78"/>
      <c r="R724" s="78"/>
      <c r="S724" s="78"/>
      <c r="T724" s="78"/>
      <c r="U724" s="78"/>
      <c r="V724" s="78"/>
    </row>
    <row r="725" ht="15.75" customHeight="1">
      <c r="P725" s="78"/>
      <c r="Q725" s="78"/>
      <c r="R725" s="78"/>
      <c r="S725" s="78"/>
      <c r="T725" s="78"/>
      <c r="U725" s="78"/>
      <c r="V725" s="78"/>
    </row>
    <row r="726" ht="15.75" customHeight="1">
      <c r="P726" s="78"/>
      <c r="Q726" s="78"/>
      <c r="R726" s="78"/>
      <c r="S726" s="78"/>
      <c r="T726" s="78"/>
      <c r="U726" s="78"/>
      <c r="V726" s="78"/>
    </row>
    <row r="727" ht="15.75" customHeight="1">
      <c r="P727" s="78"/>
      <c r="Q727" s="78"/>
      <c r="R727" s="78"/>
      <c r="S727" s="78"/>
      <c r="T727" s="78"/>
      <c r="U727" s="78"/>
      <c r="V727" s="78"/>
    </row>
    <row r="728" ht="15.75" customHeight="1">
      <c r="P728" s="78"/>
      <c r="Q728" s="78"/>
      <c r="R728" s="78"/>
      <c r="S728" s="78"/>
      <c r="T728" s="78"/>
      <c r="U728" s="78"/>
      <c r="V728" s="78"/>
    </row>
    <row r="729" ht="15.75" customHeight="1">
      <c r="P729" s="78"/>
      <c r="Q729" s="78"/>
      <c r="R729" s="78"/>
      <c r="S729" s="78"/>
      <c r="T729" s="78"/>
      <c r="U729" s="78"/>
      <c r="V729" s="78"/>
    </row>
    <row r="730" ht="15.75" customHeight="1">
      <c r="P730" s="78"/>
      <c r="Q730" s="78"/>
      <c r="R730" s="78"/>
      <c r="S730" s="78"/>
      <c r="T730" s="78"/>
      <c r="U730" s="78"/>
      <c r="V730" s="78"/>
    </row>
    <row r="731" ht="15.75" customHeight="1">
      <c r="P731" s="78"/>
      <c r="Q731" s="78"/>
      <c r="R731" s="78"/>
      <c r="S731" s="78"/>
      <c r="T731" s="78"/>
      <c r="U731" s="78"/>
      <c r="V731" s="78"/>
    </row>
    <row r="732" ht="15.75" customHeight="1">
      <c r="P732" s="78"/>
      <c r="Q732" s="78"/>
      <c r="R732" s="78"/>
      <c r="S732" s="78"/>
      <c r="T732" s="78"/>
      <c r="U732" s="78"/>
      <c r="V732" s="78"/>
    </row>
    <row r="733" ht="15.75" customHeight="1">
      <c r="P733" s="78"/>
      <c r="Q733" s="78"/>
      <c r="R733" s="78"/>
      <c r="S733" s="78"/>
      <c r="T733" s="78"/>
      <c r="U733" s="78"/>
      <c r="V733" s="78"/>
    </row>
    <row r="734" ht="15.75" customHeight="1">
      <c r="P734" s="78"/>
      <c r="Q734" s="78"/>
      <c r="R734" s="78"/>
      <c r="S734" s="78"/>
      <c r="T734" s="78"/>
      <c r="U734" s="78"/>
      <c r="V734" s="78"/>
    </row>
    <row r="735" ht="15.75" customHeight="1">
      <c r="P735" s="78"/>
      <c r="Q735" s="78"/>
      <c r="R735" s="78"/>
      <c r="S735" s="78"/>
      <c r="T735" s="78"/>
      <c r="U735" s="78"/>
      <c r="V735" s="78"/>
    </row>
    <row r="736" ht="15.75" customHeight="1">
      <c r="P736" s="78"/>
      <c r="Q736" s="78"/>
      <c r="R736" s="78"/>
      <c r="S736" s="78"/>
      <c r="T736" s="78"/>
      <c r="U736" s="78"/>
      <c r="V736" s="78"/>
    </row>
    <row r="737" ht="15.75" customHeight="1">
      <c r="P737" s="78"/>
      <c r="Q737" s="78"/>
      <c r="R737" s="78"/>
      <c r="S737" s="78"/>
      <c r="T737" s="78"/>
      <c r="U737" s="78"/>
      <c r="V737" s="78"/>
    </row>
    <row r="738" ht="15.75" customHeight="1">
      <c r="P738" s="78"/>
      <c r="Q738" s="78"/>
      <c r="R738" s="78"/>
      <c r="S738" s="78"/>
      <c r="T738" s="78"/>
      <c r="U738" s="78"/>
      <c r="V738" s="78"/>
    </row>
    <row r="739" ht="15.75" customHeight="1">
      <c r="P739" s="78"/>
      <c r="Q739" s="78"/>
      <c r="R739" s="78"/>
      <c r="S739" s="78"/>
      <c r="T739" s="78"/>
      <c r="U739" s="78"/>
      <c r="V739" s="78"/>
    </row>
    <row r="740" ht="15.75" customHeight="1">
      <c r="P740" s="78"/>
      <c r="Q740" s="78"/>
      <c r="R740" s="78"/>
      <c r="S740" s="78"/>
      <c r="T740" s="78"/>
      <c r="U740" s="78"/>
      <c r="V740" s="78"/>
    </row>
    <row r="741" ht="15.75" customHeight="1">
      <c r="P741" s="78"/>
      <c r="Q741" s="78"/>
      <c r="R741" s="78"/>
      <c r="S741" s="78"/>
      <c r="T741" s="78"/>
      <c r="U741" s="78"/>
      <c r="V741" s="78"/>
    </row>
    <row r="742" ht="15.75" customHeight="1">
      <c r="P742" s="78"/>
      <c r="Q742" s="78"/>
      <c r="R742" s="78"/>
      <c r="S742" s="78"/>
      <c r="T742" s="78"/>
      <c r="U742" s="78"/>
      <c r="V742" s="78"/>
    </row>
    <row r="743" ht="15.75" customHeight="1">
      <c r="P743" s="78"/>
      <c r="Q743" s="78"/>
      <c r="R743" s="78"/>
      <c r="S743" s="78"/>
      <c r="T743" s="78"/>
      <c r="U743" s="78"/>
      <c r="V743" s="78"/>
    </row>
    <row r="744" ht="15.75" customHeight="1">
      <c r="P744" s="78"/>
      <c r="Q744" s="78"/>
      <c r="R744" s="78"/>
      <c r="S744" s="78"/>
      <c r="T744" s="78"/>
      <c r="U744" s="78"/>
      <c r="V744" s="78"/>
    </row>
    <row r="745" ht="15.75" customHeight="1">
      <c r="P745" s="78"/>
      <c r="Q745" s="78"/>
      <c r="R745" s="78"/>
      <c r="S745" s="78"/>
      <c r="T745" s="78"/>
      <c r="U745" s="78"/>
      <c r="V745" s="78"/>
    </row>
    <row r="746" ht="15.75" customHeight="1">
      <c r="P746" s="78"/>
      <c r="Q746" s="78"/>
      <c r="R746" s="78"/>
      <c r="S746" s="78"/>
      <c r="T746" s="78"/>
      <c r="U746" s="78"/>
      <c r="V746" s="78"/>
    </row>
    <row r="747" ht="15.75" customHeight="1">
      <c r="P747" s="78"/>
      <c r="Q747" s="78"/>
      <c r="R747" s="78"/>
      <c r="S747" s="78"/>
      <c r="T747" s="78"/>
      <c r="U747" s="78"/>
      <c r="V747" s="78"/>
    </row>
    <row r="748" ht="15.75" customHeight="1">
      <c r="P748" s="78"/>
      <c r="Q748" s="78"/>
      <c r="R748" s="78"/>
      <c r="S748" s="78"/>
      <c r="T748" s="78"/>
      <c r="U748" s="78"/>
      <c r="V748" s="78"/>
    </row>
    <row r="749" ht="15.75" customHeight="1">
      <c r="P749" s="78"/>
      <c r="Q749" s="78"/>
      <c r="R749" s="78"/>
      <c r="S749" s="78"/>
      <c r="T749" s="78"/>
      <c r="U749" s="78"/>
      <c r="V749" s="78"/>
    </row>
    <row r="750" ht="15.75" customHeight="1">
      <c r="P750" s="78"/>
      <c r="Q750" s="78"/>
      <c r="R750" s="78"/>
      <c r="S750" s="78"/>
      <c r="T750" s="78"/>
      <c r="U750" s="78"/>
      <c r="V750" s="78"/>
    </row>
    <row r="751" ht="15.75" customHeight="1">
      <c r="P751" s="78"/>
      <c r="Q751" s="78"/>
      <c r="R751" s="78"/>
      <c r="S751" s="78"/>
      <c r="T751" s="78"/>
      <c r="U751" s="78"/>
      <c r="V751" s="78"/>
    </row>
    <row r="752" ht="15.75" customHeight="1">
      <c r="P752" s="78"/>
      <c r="Q752" s="78"/>
      <c r="R752" s="78"/>
      <c r="S752" s="78"/>
      <c r="T752" s="78"/>
      <c r="U752" s="78"/>
      <c r="V752" s="78"/>
    </row>
    <row r="753" ht="15.75" customHeight="1">
      <c r="P753" s="78"/>
      <c r="Q753" s="78"/>
      <c r="R753" s="78"/>
      <c r="S753" s="78"/>
      <c r="T753" s="78"/>
      <c r="U753" s="78"/>
      <c r="V753" s="78"/>
    </row>
    <row r="754" ht="15.75" customHeight="1">
      <c r="P754" s="78"/>
      <c r="Q754" s="78"/>
      <c r="R754" s="78"/>
      <c r="S754" s="78"/>
      <c r="T754" s="78"/>
      <c r="U754" s="78"/>
      <c r="V754" s="78"/>
    </row>
    <row r="755" ht="15.75" customHeight="1">
      <c r="P755" s="78"/>
      <c r="Q755" s="78"/>
      <c r="R755" s="78"/>
      <c r="S755" s="78"/>
      <c r="T755" s="78"/>
      <c r="U755" s="78"/>
      <c r="V755" s="78"/>
    </row>
    <row r="756" ht="15.75" customHeight="1">
      <c r="P756" s="78"/>
      <c r="Q756" s="78"/>
      <c r="R756" s="78"/>
      <c r="S756" s="78"/>
      <c r="T756" s="78"/>
      <c r="U756" s="78"/>
      <c r="V756" s="78"/>
    </row>
    <row r="757" ht="15.75" customHeight="1">
      <c r="P757" s="78"/>
      <c r="Q757" s="78"/>
      <c r="R757" s="78"/>
      <c r="S757" s="78"/>
      <c r="T757" s="78"/>
      <c r="U757" s="78"/>
      <c r="V757" s="78"/>
    </row>
    <row r="758" ht="15.75" customHeight="1">
      <c r="P758" s="78"/>
      <c r="Q758" s="78"/>
      <c r="R758" s="78"/>
      <c r="S758" s="78"/>
      <c r="T758" s="78"/>
      <c r="U758" s="78"/>
      <c r="V758" s="78"/>
    </row>
    <row r="759" ht="15.75" customHeight="1">
      <c r="P759" s="78"/>
      <c r="Q759" s="78"/>
      <c r="R759" s="78"/>
      <c r="S759" s="78"/>
      <c r="T759" s="78"/>
      <c r="U759" s="78"/>
      <c r="V759" s="78"/>
    </row>
    <row r="760" ht="15.75" customHeight="1">
      <c r="P760" s="78"/>
      <c r="Q760" s="78"/>
      <c r="R760" s="78"/>
      <c r="S760" s="78"/>
      <c r="T760" s="78"/>
      <c r="U760" s="78"/>
      <c r="V760" s="78"/>
    </row>
    <row r="761" ht="15.75" customHeight="1">
      <c r="P761" s="78"/>
      <c r="Q761" s="78"/>
      <c r="R761" s="78"/>
      <c r="S761" s="78"/>
      <c r="T761" s="78"/>
      <c r="U761" s="78"/>
      <c r="V761" s="78"/>
    </row>
    <row r="762" ht="15.75" customHeight="1">
      <c r="P762" s="78"/>
      <c r="Q762" s="78"/>
      <c r="R762" s="78"/>
      <c r="S762" s="78"/>
      <c r="T762" s="78"/>
      <c r="U762" s="78"/>
      <c r="V762" s="78"/>
    </row>
    <row r="763" ht="15.75" customHeight="1">
      <c r="P763" s="78"/>
      <c r="Q763" s="78"/>
      <c r="R763" s="78"/>
      <c r="S763" s="78"/>
      <c r="T763" s="78"/>
      <c r="U763" s="78"/>
      <c r="V763" s="78"/>
    </row>
    <row r="764" ht="15.75" customHeight="1">
      <c r="P764" s="78"/>
      <c r="Q764" s="78"/>
      <c r="R764" s="78"/>
      <c r="S764" s="78"/>
      <c r="T764" s="78"/>
      <c r="U764" s="78"/>
      <c r="V764" s="78"/>
    </row>
    <row r="765" ht="15.75" customHeight="1">
      <c r="P765" s="78"/>
      <c r="Q765" s="78"/>
      <c r="R765" s="78"/>
      <c r="S765" s="78"/>
      <c r="T765" s="78"/>
      <c r="U765" s="78"/>
      <c r="V765" s="78"/>
    </row>
    <row r="766" ht="15.75" customHeight="1">
      <c r="P766" s="78"/>
      <c r="Q766" s="78"/>
      <c r="R766" s="78"/>
      <c r="S766" s="78"/>
      <c r="T766" s="78"/>
      <c r="U766" s="78"/>
      <c r="V766" s="78"/>
    </row>
    <row r="767" ht="15.75" customHeight="1">
      <c r="P767" s="78"/>
      <c r="Q767" s="78"/>
      <c r="R767" s="78"/>
      <c r="S767" s="78"/>
      <c r="T767" s="78"/>
      <c r="U767" s="78"/>
      <c r="V767" s="78"/>
    </row>
    <row r="768" ht="15.75" customHeight="1">
      <c r="P768" s="78"/>
      <c r="Q768" s="78"/>
      <c r="R768" s="78"/>
      <c r="S768" s="78"/>
      <c r="T768" s="78"/>
      <c r="U768" s="78"/>
      <c r="V768" s="78"/>
    </row>
    <row r="769" ht="15.75" customHeight="1">
      <c r="P769" s="78"/>
      <c r="Q769" s="78"/>
      <c r="R769" s="78"/>
      <c r="S769" s="78"/>
      <c r="T769" s="78"/>
      <c r="U769" s="78"/>
      <c r="V769" s="78"/>
    </row>
    <row r="770" ht="15.75" customHeight="1">
      <c r="P770" s="78"/>
      <c r="Q770" s="78"/>
      <c r="R770" s="78"/>
      <c r="S770" s="78"/>
      <c r="T770" s="78"/>
      <c r="U770" s="78"/>
      <c r="V770" s="78"/>
    </row>
    <row r="771" ht="15.75" customHeight="1">
      <c r="P771" s="78"/>
      <c r="Q771" s="78"/>
      <c r="R771" s="78"/>
      <c r="S771" s="78"/>
      <c r="T771" s="78"/>
      <c r="U771" s="78"/>
      <c r="V771" s="78"/>
    </row>
    <row r="772" ht="15.75" customHeight="1">
      <c r="P772" s="78"/>
      <c r="Q772" s="78"/>
      <c r="R772" s="78"/>
      <c r="S772" s="78"/>
      <c r="T772" s="78"/>
      <c r="U772" s="78"/>
      <c r="V772" s="78"/>
    </row>
    <row r="773" ht="15.75" customHeight="1">
      <c r="P773" s="78"/>
      <c r="Q773" s="78"/>
      <c r="R773" s="78"/>
      <c r="S773" s="78"/>
      <c r="T773" s="78"/>
      <c r="U773" s="78"/>
      <c r="V773" s="78"/>
    </row>
    <row r="774" ht="15.75" customHeight="1">
      <c r="P774" s="78"/>
      <c r="Q774" s="78"/>
      <c r="R774" s="78"/>
      <c r="S774" s="78"/>
      <c r="T774" s="78"/>
      <c r="U774" s="78"/>
      <c r="V774" s="78"/>
    </row>
    <row r="775" ht="15.75" customHeight="1">
      <c r="P775" s="78"/>
      <c r="Q775" s="78"/>
      <c r="R775" s="78"/>
      <c r="S775" s="78"/>
      <c r="T775" s="78"/>
      <c r="U775" s="78"/>
      <c r="V775" s="78"/>
    </row>
    <row r="776" ht="15.75" customHeight="1">
      <c r="P776" s="78"/>
      <c r="Q776" s="78"/>
      <c r="R776" s="78"/>
      <c r="S776" s="78"/>
      <c r="T776" s="78"/>
      <c r="U776" s="78"/>
      <c r="V776" s="78"/>
    </row>
    <row r="777" ht="15.75" customHeight="1">
      <c r="P777" s="78"/>
      <c r="Q777" s="78"/>
      <c r="R777" s="78"/>
      <c r="S777" s="78"/>
      <c r="T777" s="78"/>
      <c r="U777" s="78"/>
      <c r="V777" s="78"/>
    </row>
    <row r="778" ht="15.75" customHeight="1">
      <c r="P778" s="78"/>
      <c r="Q778" s="78"/>
      <c r="R778" s="78"/>
      <c r="S778" s="78"/>
      <c r="T778" s="78"/>
      <c r="U778" s="78"/>
      <c r="V778" s="78"/>
    </row>
    <row r="779" ht="15.75" customHeight="1">
      <c r="P779" s="78"/>
      <c r="Q779" s="78"/>
      <c r="R779" s="78"/>
      <c r="S779" s="78"/>
      <c r="T779" s="78"/>
      <c r="U779" s="78"/>
      <c r="V779" s="78"/>
    </row>
    <row r="780" ht="15.75" customHeight="1">
      <c r="P780" s="78"/>
      <c r="Q780" s="78"/>
      <c r="R780" s="78"/>
      <c r="S780" s="78"/>
      <c r="T780" s="78"/>
      <c r="U780" s="78"/>
      <c r="V780" s="78"/>
    </row>
    <row r="781" ht="15.75" customHeight="1">
      <c r="P781" s="78"/>
      <c r="Q781" s="78"/>
      <c r="R781" s="78"/>
      <c r="S781" s="78"/>
      <c r="T781" s="78"/>
      <c r="U781" s="78"/>
      <c r="V781" s="78"/>
    </row>
    <row r="782" ht="15.75" customHeight="1">
      <c r="P782" s="78"/>
      <c r="Q782" s="78"/>
      <c r="R782" s="78"/>
      <c r="S782" s="78"/>
      <c r="T782" s="78"/>
      <c r="U782" s="78"/>
      <c r="V782" s="78"/>
    </row>
    <row r="783" ht="15.75" customHeight="1">
      <c r="P783" s="78"/>
      <c r="Q783" s="78"/>
      <c r="R783" s="78"/>
      <c r="S783" s="78"/>
      <c r="T783" s="78"/>
      <c r="U783" s="78"/>
      <c r="V783" s="78"/>
    </row>
    <row r="784" ht="15.75" customHeight="1">
      <c r="P784" s="78"/>
      <c r="Q784" s="78"/>
      <c r="R784" s="78"/>
      <c r="S784" s="78"/>
      <c r="T784" s="78"/>
      <c r="U784" s="78"/>
      <c r="V784" s="78"/>
    </row>
    <row r="785" ht="15.75" customHeight="1">
      <c r="P785" s="78"/>
      <c r="Q785" s="78"/>
      <c r="R785" s="78"/>
      <c r="S785" s="78"/>
      <c r="T785" s="78"/>
      <c r="U785" s="78"/>
      <c r="V785" s="78"/>
    </row>
    <row r="786" ht="15.75" customHeight="1">
      <c r="P786" s="78"/>
      <c r="Q786" s="78"/>
      <c r="R786" s="78"/>
      <c r="S786" s="78"/>
      <c r="T786" s="78"/>
      <c r="U786" s="78"/>
      <c r="V786" s="78"/>
    </row>
    <row r="787" ht="15.75" customHeight="1">
      <c r="P787" s="78"/>
      <c r="Q787" s="78"/>
      <c r="R787" s="78"/>
      <c r="S787" s="78"/>
      <c r="T787" s="78"/>
      <c r="U787" s="78"/>
      <c r="V787" s="78"/>
    </row>
    <row r="788" ht="15.75" customHeight="1">
      <c r="P788" s="78"/>
      <c r="Q788" s="78"/>
      <c r="R788" s="78"/>
      <c r="S788" s="78"/>
      <c r="T788" s="78"/>
      <c r="U788" s="78"/>
      <c r="V788" s="78"/>
    </row>
    <row r="789" ht="15.75" customHeight="1">
      <c r="P789" s="78"/>
      <c r="Q789" s="78"/>
      <c r="R789" s="78"/>
      <c r="S789" s="78"/>
      <c r="T789" s="78"/>
      <c r="U789" s="78"/>
      <c r="V789" s="78"/>
    </row>
    <row r="790" ht="15.75" customHeight="1">
      <c r="P790" s="78"/>
      <c r="Q790" s="78"/>
      <c r="R790" s="78"/>
      <c r="S790" s="78"/>
      <c r="T790" s="78"/>
      <c r="U790" s="78"/>
      <c r="V790" s="78"/>
    </row>
    <row r="791" ht="15.75" customHeight="1">
      <c r="P791" s="78"/>
      <c r="Q791" s="78"/>
      <c r="R791" s="78"/>
      <c r="S791" s="78"/>
      <c r="T791" s="78"/>
      <c r="U791" s="78"/>
      <c r="V791" s="78"/>
    </row>
    <row r="792" ht="15.75" customHeight="1">
      <c r="P792" s="78"/>
      <c r="Q792" s="78"/>
      <c r="R792" s="78"/>
      <c r="S792" s="78"/>
      <c r="T792" s="78"/>
      <c r="U792" s="78"/>
      <c r="V792" s="78"/>
    </row>
    <row r="793" ht="15.75" customHeight="1">
      <c r="P793" s="78"/>
      <c r="Q793" s="78"/>
      <c r="R793" s="78"/>
      <c r="S793" s="78"/>
      <c r="T793" s="78"/>
      <c r="U793" s="78"/>
      <c r="V793" s="78"/>
    </row>
    <row r="794" ht="15.75" customHeight="1">
      <c r="P794" s="78"/>
      <c r="Q794" s="78"/>
      <c r="R794" s="78"/>
      <c r="S794" s="78"/>
      <c r="T794" s="78"/>
      <c r="U794" s="78"/>
      <c r="V794" s="78"/>
    </row>
    <row r="795" ht="15.75" customHeight="1">
      <c r="P795" s="78"/>
      <c r="Q795" s="78"/>
      <c r="R795" s="78"/>
      <c r="S795" s="78"/>
      <c r="T795" s="78"/>
      <c r="U795" s="78"/>
      <c r="V795" s="78"/>
    </row>
    <row r="796" ht="15.75" customHeight="1">
      <c r="P796" s="78"/>
      <c r="Q796" s="78"/>
      <c r="R796" s="78"/>
      <c r="S796" s="78"/>
      <c r="T796" s="78"/>
      <c r="U796" s="78"/>
      <c r="V796" s="78"/>
    </row>
    <row r="797" ht="15.75" customHeight="1">
      <c r="P797" s="78"/>
      <c r="Q797" s="78"/>
      <c r="R797" s="78"/>
      <c r="S797" s="78"/>
      <c r="T797" s="78"/>
      <c r="U797" s="78"/>
      <c r="V797" s="78"/>
    </row>
    <row r="798" ht="15.75" customHeight="1">
      <c r="P798" s="78"/>
      <c r="Q798" s="78"/>
      <c r="R798" s="78"/>
      <c r="S798" s="78"/>
      <c r="T798" s="78"/>
      <c r="U798" s="78"/>
      <c r="V798" s="78"/>
    </row>
    <row r="799" ht="15.75" customHeight="1">
      <c r="P799" s="78"/>
      <c r="Q799" s="78"/>
      <c r="R799" s="78"/>
      <c r="S799" s="78"/>
      <c r="T799" s="78"/>
      <c r="U799" s="78"/>
      <c r="V799" s="78"/>
    </row>
    <row r="800" ht="15.75" customHeight="1">
      <c r="P800" s="78"/>
      <c r="Q800" s="78"/>
      <c r="R800" s="78"/>
      <c r="S800" s="78"/>
      <c r="T800" s="78"/>
      <c r="U800" s="78"/>
      <c r="V800" s="78"/>
    </row>
    <row r="801" ht="15.75" customHeight="1">
      <c r="P801" s="78"/>
      <c r="Q801" s="78"/>
      <c r="R801" s="78"/>
      <c r="S801" s="78"/>
      <c r="T801" s="78"/>
      <c r="U801" s="78"/>
      <c r="V801" s="78"/>
    </row>
    <row r="802" ht="15.75" customHeight="1">
      <c r="P802" s="78"/>
      <c r="Q802" s="78"/>
      <c r="R802" s="78"/>
      <c r="S802" s="78"/>
      <c r="T802" s="78"/>
      <c r="U802" s="78"/>
      <c r="V802" s="78"/>
    </row>
    <row r="803" ht="15.75" customHeight="1">
      <c r="P803" s="78"/>
      <c r="Q803" s="78"/>
      <c r="R803" s="78"/>
      <c r="S803" s="78"/>
      <c r="T803" s="78"/>
      <c r="U803" s="78"/>
      <c r="V803" s="78"/>
    </row>
    <row r="804" ht="15.75" customHeight="1">
      <c r="P804" s="78"/>
      <c r="Q804" s="78"/>
      <c r="R804" s="78"/>
      <c r="S804" s="78"/>
      <c r="T804" s="78"/>
      <c r="U804" s="78"/>
      <c r="V804" s="78"/>
    </row>
    <row r="805" ht="15.75" customHeight="1">
      <c r="P805" s="78"/>
      <c r="Q805" s="78"/>
      <c r="R805" s="78"/>
      <c r="S805" s="78"/>
      <c r="T805" s="78"/>
      <c r="U805" s="78"/>
      <c r="V805" s="78"/>
    </row>
    <row r="806" ht="15.75" customHeight="1">
      <c r="P806" s="78"/>
      <c r="Q806" s="78"/>
      <c r="R806" s="78"/>
      <c r="S806" s="78"/>
      <c r="T806" s="78"/>
      <c r="U806" s="78"/>
      <c r="V806" s="78"/>
    </row>
    <row r="807" ht="15.75" customHeight="1">
      <c r="P807" s="78"/>
      <c r="Q807" s="78"/>
      <c r="R807" s="78"/>
      <c r="S807" s="78"/>
      <c r="T807" s="78"/>
      <c r="U807" s="78"/>
      <c r="V807" s="78"/>
    </row>
    <row r="808" ht="15.75" customHeight="1">
      <c r="P808" s="78"/>
      <c r="Q808" s="78"/>
      <c r="R808" s="78"/>
      <c r="S808" s="78"/>
      <c r="T808" s="78"/>
      <c r="U808" s="78"/>
      <c r="V808" s="78"/>
    </row>
    <row r="809" ht="15.75" customHeight="1">
      <c r="P809" s="78"/>
      <c r="Q809" s="78"/>
      <c r="R809" s="78"/>
      <c r="S809" s="78"/>
      <c r="T809" s="78"/>
      <c r="U809" s="78"/>
      <c r="V809" s="78"/>
    </row>
    <row r="810" ht="15.75" customHeight="1">
      <c r="P810" s="78"/>
      <c r="Q810" s="78"/>
      <c r="R810" s="78"/>
      <c r="S810" s="78"/>
      <c r="T810" s="78"/>
      <c r="U810" s="78"/>
      <c r="V810" s="78"/>
    </row>
    <row r="811" ht="15.75" customHeight="1">
      <c r="P811" s="78"/>
      <c r="Q811" s="78"/>
      <c r="R811" s="78"/>
      <c r="S811" s="78"/>
      <c r="T811" s="78"/>
      <c r="U811" s="78"/>
      <c r="V811" s="78"/>
    </row>
    <row r="812" ht="15.75" customHeight="1">
      <c r="P812" s="78"/>
      <c r="Q812" s="78"/>
      <c r="R812" s="78"/>
      <c r="S812" s="78"/>
      <c r="T812" s="78"/>
      <c r="U812" s="78"/>
      <c r="V812" s="78"/>
    </row>
    <row r="813" ht="15.75" customHeight="1">
      <c r="P813" s="78"/>
      <c r="Q813" s="78"/>
      <c r="R813" s="78"/>
      <c r="S813" s="78"/>
      <c r="T813" s="78"/>
      <c r="U813" s="78"/>
      <c r="V813" s="78"/>
    </row>
    <row r="814" ht="15.75" customHeight="1">
      <c r="P814" s="78"/>
      <c r="Q814" s="78"/>
      <c r="R814" s="78"/>
      <c r="S814" s="78"/>
      <c r="T814" s="78"/>
      <c r="U814" s="78"/>
      <c r="V814" s="78"/>
    </row>
    <row r="815" ht="15.75" customHeight="1">
      <c r="P815" s="78"/>
      <c r="Q815" s="78"/>
      <c r="R815" s="78"/>
      <c r="S815" s="78"/>
      <c r="T815" s="78"/>
      <c r="U815" s="78"/>
      <c r="V815" s="78"/>
    </row>
    <row r="816" ht="15.75" customHeight="1">
      <c r="P816" s="78"/>
      <c r="Q816" s="78"/>
      <c r="R816" s="78"/>
      <c r="S816" s="78"/>
      <c r="T816" s="78"/>
      <c r="U816" s="78"/>
      <c r="V816" s="78"/>
    </row>
    <row r="817" ht="15.75" customHeight="1">
      <c r="P817" s="78"/>
      <c r="Q817" s="78"/>
      <c r="R817" s="78"/>
      <c r="S817" s="78"/>
      <c r="T817" s="78"/>
      <c r="U817" s="78"/>
      <c r="V817" s="78"/>
    </row>
    <row r="818" ht="15.75" customHeight="1">
      <c r="P818" s="78"/>
      <c r="Q818" s="78"/>
      <c r="R818" s="78"/>
      <c r="S818" s="78"/>
      <c r="T818" s="78"/>
      <c r="U818" s="78"/>
      <c r="V818" s="78"/>
    </row>
    <row r="819" ht="15.75" customHeight="1">
      <c r="P819" s="78"/>
      <c r="Q819" s="78"/>
      <c r="R819" s="78"/>
      <c r="S819" s="78"/>
      <c r="T819" s="78"/>
      <c r="U819" s="78"/>
      <c r="V819" s="78"/>
    </row>
    <row r="820" ht="15.75" customHeight="1">
      <c r="P820" s="78"/>
      <c r="Q820" s="78"/>
      <c r="R820" s="78"/>
      <c r="S820" s="78"/>
      <c r="T820" s="78"/>
      <c r="U820" s="78"/>
      <c r="V820" s="78"/>
    </row>
    <row r="821" ht="15.75" customHeight="1">
      <c r="P821" s="78"/>
      <c r="Q821" s="78"/>
      <c r="R821" s="78"/>
      <c r="S821" s="78"/>
      <c r="T821" s="78"/>
      <c r="U821" s="78"/>
      <c r="V821" s="78"/>
    </row>
    <row r="822" ht="15.75" customHeight="1">
      <c r="P822" s="78"/>
      <c r="Q822" s="78"/>
      <c r="R822" s="78"/>
      <c r="S822" s="78"/>
      <c r="T822" s="78"/>
      <c r="U822" s="78"/>
      <c r="V822" s="78"/>
    </row>
    <row r="823" ht="15.75" customHeight="1">
      <c r="P823" s="78"/>
      <c r="Q823" s="78"/>
      <c r="R823" s="78"/>
      <c r="S823" s="78"/>
      <c r="T823" s="78"/>
      <c r="U823" s="78"/>
      <c r="V823" s="78"/>
    </row>
    <row r="824" ht="15.75" customHeight="1">
      <c r="P824" s="78"/>
      <c r="Q824" s="78"/>
      <c r="R824" s="78"/>
      <c r="S824" s="78"/>
      <c r="T824" s="78"/>
      <c r="U824" s="78"/>
      <c r="V824" s="78"/>
    </row>
    <row r="825" ht="15.75" customHeight="1">
      <c r="P825" s="78"/>
      <c r="Q825" s="78"/>
      <c r="R825" s="78"/>
      <c r="S825" s="78"/>
      <c r="T825" s="78"/>
      <c r="U825" s="78"/>
      <c r="V825" s="78"/>
    </row>
    <row r="826" ht="15.75" customHeight="1">
      <c r="P826" s="78"/>
      <c r="Q826" s="78"/>
      <c r="R826" s="78"/>
      <c r="S826" s="78"/>
      <c r="T826" s="78"/>
      <c r="U826" s="78"/>
      <c r="V826" s="78"/>
    </row>
    <row r="827" ht="15.75" customHeight="1">
      <c r="P827" s="78"/>
      <c r="Q827" s="78"/>
      <c r="R827" s="78"/>
      <c r="S827" s="78"/>
      <c r="T827" s="78"/>
      <c r="U827" s="78"/>
      <c r="V827" s="78"/>
    </row>
    <row r="828" ht="15.75" customHeight="1">
      <c r="P828" s="78"/>
      <c r="Q828" s="78"/>
      <c r="R828" s="78"/>
      <c r="S828" s="78"/>
      <c r="T828" s="78"/>
      <c r="U828" s="78"/>
      <c r="V828" s="78"/>
    </row>
    <row r="829" ht="15.75" customHeight="1">
      <c r="P829" s="78"/>
      <c r="Q829" s="78"/>
      <c r="R829" s="78"/>
      <c r="S829" s="78"/>
      <c r="T829" s="78"/>
      <c r="U829" s="78"/>
      <c r="V829" s="78"/>
    </row>
    <row r="830" ht="15.75" customHeight="1">
      <c r="P830" s="78"/>
      <c r="Q830" s="78"/>
      <c r="R830" s="78"/>
      <c r="S830" s="78"/>
      <c r="T830" s="78"/>
      <c r="U830" s="78"/>
      <c r="V830" s="78"/>
    </row>
    <row r="831" ht="15.75" customHeight="1">
      <c r="P831" s="78"/>
      <c r="Q831" s="78"/>
      <c r="R831" s="78"/>
      <c r="S831" s="78"/>
      <c r="T831" s="78"/>
      <c r="U831" s="78"/>
      <c r="V831" s="78"/>
    </row>
    <row r="832" ht="15.75" customHeight="1">
      <c r="P832" s="78"/>
      <c r="Q832" s="78"/>
      <c r="R832" s="78"/>
      <c r="S832" s="78"/>
      <c r="T832" s="78"/>
      <c r="U832" s="78"/>
      <c r="V832" s="78"/>
    </row>
    <row r="833" ht="15.75" customHeight="1">
      <c r="P833" s="78"/>
      <c r="Q833" s="78"/>
      <c r="R833" s="78"/>
      <c r="S833" s="78"/>
      <c r="T833" s="78"/>
      <c r="U833" s="78"/>
      <c r="V833" s="78"/>
    </row>
    <row r="834" ht="15.75" customHeight="1">
      <c r="P834" s="78"/>
      <c r="Q834" s="78"/>
      <c r="R834" s="78"/>
      <c r="S834" s="78"/>
      <c r="T834" s="78"/>
      <c r="U834" s="78"/>
      <c r="V834" s="78"/>
    </row>
    <row r="835" ht="15.75" customHeight="1">
      <c r="P835" s="78"/>
      <c r="Q835" s="78"/>
      <c r="R835" s="78"/>
      <c r="S835" s="78"/>
      <c r="T835" s="78"/>
      <c r="U835" s="78"/>
      <c r="V835" s="78"/>
    </row>
    <row r="836" ht="15.75" customHeight="1">
      <c r="P836" s="78"/>
      <c r="Q836" s="78"/>
      <c r="R836" s="78"/>
      <c r="S836" s="78"/>
      <c r="T836" s="78"/>
      <c r="U836" s="78"/>
      <c r="V836" s="78"/>
    </row>
    <row r="837" ht="15.75" customHeight="1">
      <c r="P837" s="78"/>
      <c r="Q837" s="78"/>
      <c r="R837" s="78"/>
      <c r="S837" s="78"/>
      <c r="T837" s="78"/>
      <c r="U837" s="78"/>
      <c r="V837" s="78"/>
    </row>
    <row r="838" ht="15.75" customHeight="1">
      <c r="P838" s="78"/>
      <c r="Q838" s="78"/>
      <c r="R838" s="78"/>
      <c r="S838" s="78"/>
      <c r="T838" s="78"/>
      <c r="U838" s="78"/>
      <c r="V838" s="78"/>
    </row>
    <row r="839" ht="15.75" customHeight="1">
      <c r="P839" s="78"/>
      <c r="Q839" s="78"/>
      <c r="R839" s="78"/>
      <c r="S839" s="78"/>
      <c r="T839" s="78"/>
      <c r="U839" s="78"/>
      <c r="V839" s="78"/>
    </row>
    <row r="840" ht="15.75" customHeight="1">
      <c r="P840" s="78"/>
      <c r="Q840" s="78"/>
      <c r="R840" s="78"/>
      <c r="S840" s="78"/>
      <c r="T840" s="78"/>
      <c r="U840" s="78"/>
      <c r="V840" s="78"/>
    </row>
    <row r="841" ht="15.75" customHeight="1">
      <c r="P841" s="78"/>
      <c r="Q841" s="78"/>
      <c r="R841" s="78"/>
      <c r="S841" s="78"/>
      <c r="T841" s="78"/>
      <c r="U841" s="78"/>
      <c r="V841" s="78"/>
    </row>
    <row r="842" ht="15.75" customHeight="1">
      <c r="P842" s="78"/>
      <c r="Q842" s="78"/>
      <c r="R842" s="78"/>
      <c r="S842" s="78"/>
      <c r="T842" s="78"/>
      <c r="U842" s="78"/>
      <c r="V842" s="78"/>
    </row>
    <row r="843" ht="15.75" customHeight="1">
      <c r="P843" s="78"/>
      <c r="Q843" s="78"/>
      <c r="R843" s="78"/>
      <c r="S843" s="78"/>
      <c r="T843" s="78"/>
      <c r="U843" s="78"/>
      <c r="V843" s="78"/>
    </row>
    <row r="844" ht="15.75" customHeight="1">
      <c r="P844" s="78"/>
      <c r="Q844" s="78"/>
      <c r="R844" s="78"/>
      <c r="S844" s="78"/>
      <c r="T844" s="78"/>
      <c r="U844" s="78"/>
      <c r="V844" s="78"/>
    </row>
    <row r="845" ht="15.75" customHeight="1">
      <c r="P845" s="78"/>
      <c r="Q845" s="78"/>
      <c r="R845" s="78"/>
      <c r="S845" s="78"/>
      <c r="T845" s="78"/>
      <c r="U845" s="78"/>
      <c r="V845" s="78"/>
    </row>
    <row r="846" ht="15.75" customHeight="1">
      <c r="P846" s="78"/>
      <c r="Q846" s="78"/>
      <c r="R846" s="78"/>
      <c r="S846" s="78"/>
      <c r="T846" s="78"/>
      <c r="U846" s="78"/>
      <c r="V846" s="78"/>
    </row>
    <row r="847" ht="15.75" customHeight="1">
      <c r="P847" s="78"/>
      <c r="Q847" s="78"/>
      <c r="R847" s="78"/>
      <c r="S847" s="78"/>
      <c r="T847" s="78"/>
      <c r="U847" s="78"/>
      <c r="V847" s="78"/>
    </row>
    <row r="848" ht="15.75" customHeight="1">
      <c r="P848" s="78"/>
      <c r="Q848" s="78"/>
      <c r="R848" s="78"/>
      <c r="S848" s="78"/>
      <c r="T848" s="78"/>
      <c r="U848" s="78"/>
      <c r="V848" s="78"/>
    </row>
    <row r="849" ht="15.75" customHeight="1">
      <c r="P849" s="78"/>
      <c r="Q849" s="78"/>
      <c r="R849" s="78"/>
      <c r="S849" s="78"/>
      <c r="T849" s="78"/>
      <c r="U849" s="78"/>
      <c r="V849" s="78"/>
    </row>
    <row r="850" ht="15.75" customHeight="1">
      <c r="P850" s="78"/>
      <c r="Q850" s="78"/>
      <c r="R850" s="78"/>
      <c r="S850" s="78"/>
      <c r="T850" s="78"/>
      <c r="U850" s="78"/>
      <c r="V850" s="78"/>
    </row>
    <row r="851" ht="15.75" customHeight="1">
      <c r="P851" s="78"/>
      <c r="Q851" s="78"/>
      <c r="R851" s="78"/>
      <c r="S851" s="78"/>
      <c r="T851" s="78"/>
      <c r="U851" s="78"/>
      <c r="V851" s="78"/>
    </row>
    <row r="852" ht="15.75" customHeight="1">
      <c r="P852" s="78"/>
      <c r="Q852" s="78"/>
      <c r="R852" s="78"/>
      <c r="S852" s="78"/>
      <c r="T852" s="78"/>
      <c r="U852" s="78"/>
      <c r="V852" s="78"/>
    </row>
    <row r="853" ht="15.75" customHeight="1">
      <c r="P853" s="78"/>
      <c r="Q853" s="78"/>
      <c r="R853" s="78"/>
      <c r="S853" s="78"/>
      <c r="T853" s="78"/>
      <c r="U853" s="78"/>
      <c r="V853" s="78"/>
    </row>
    <row r="854" ht="15.75" customHeight="1">
      <c r="P854" s="78"/>
      <c r="Q854" s="78"/>
      <c r="R854" s="78"/>
      <c r="S854" s="78"/>
      <c r="T854" s="78"/>
      <c r="U854" s="78"/>
      <c r="V854" s="78"/>
    </row>
    <row r="855" ht="15.75" customHeight="1">
      <c r="P855" s="78"/>
      <c r="Q855" s="78"/>
      <c r="R855" s="78"/>
      <c r="S855" s="78"/>
      <c r="T855" s="78"/>
      <c r="U855" s="78"/>
      <c r="V855" s="78"/>
    </row>
    <row r="856" ht="15.75" customHeight="1">
      <c r="P856" s="78"/>
      <c r="Q856" s="78"/>
      <c r="R856" s="78"/>
      <c r="S856" s="78"/>
      <c r="T856" s="78"/>
      <c r="U856" s="78"/>
      <c r="V856" s="78"/>
    </row>
    <row r="857" ht="15.75" customHeight="1">
      <c r="P857" s="78"/>
      <c r="Q857" s="78"/>
      <c r="R857" s="78"/>
      <c r="S857" s="78"/>
      <c r="T857" s="78"/>
      <c r="U857" s="78"/>
      <c r="V857" s="78"/>
    </row>
    <row r="858" ht="15.75" customHeight="1">
      <c r="P858" s="78"/>
      <c r="Q858" s="78"/>
      <c r="R858" s="78"/>
      <c r="S858" s="78"/>
      <c r="T858" s="78"/>
      <c r="U858" s="78"/>
      <c r="V858" s="78"/>
    </row>
    <row r="859" ht="15.75" customHeight="1">
      <c r="P859" s="78"/>
      <c r="Q859" s="78"/>
      <c r="R859" s="78"/>
      <c r="S859" s="78"/>
      <c r="T859" s="78"/>
      <c r="U859" s="78"/>
      <c r="V859" s="78"/>
    </row>
    <row r="860" ht="15.75" customHeight="1">
      <c r="P860" s="78"/>
      <c r="Q860" s="78"/>
      <c r="R860" s="78"/>
      <c r="S860" s="78"/>
      <c r="T860" s="78"/>
      <c r="U860" s="78"/>
      <c r="V860" s="78"/>
    </row>
    <row r="861" ht="15.75" customHeight="1">
      <c r="P861" s="78"/>
      <c r="Q861" s="78"/>
      <c r="R861" s="78"/>
      <c r="S861" s="78"/>
      <c r="T861" s="78"/>
      <c r="U861" s="78"/>
      <c r="V861" s="78"/>
    </row>
    <row r="862" ht="15.75" customHeight="1">
      <c r="P862" s="78"/>
      <c r="Q862" s="78"/>
      <c r="R862" s="78"/>
      <c r="S862" s="78"/>
      <c r="T862" s="78"/>
      <c r="U862" s="78"/>
      <c r="V862" s="78"/>
    </row>
    <row r="863" ht="15.75" customHeight="1">
      <c r="P863" s="78"/>
      <c r="Q863" s="78"/>
      <c r="R863" s="78"/>
      <c r="S863" s="78"/>
      <c r="T863" s="78"/>
      <c r="U863" s="78"/>
      <c r="V863" s="78"/>
    </row>
    <row r="864" ht="15.75" customHeight="1">
      <c r="P864" s="78"/>
      <c r="Q864" s="78"/>
      <c r="R864" s="78"/>
      <c r="S864" s="78"/>
      <c r="T864" s="78"/>
      <c r="U864" s="78"/>
      <c r="V864" s="78"/>
    </row>
    <row r="865" ht="15.75" customHeight="1">
      <c r="P865" s="78"/>
      <c r="Q865" s="78"/>
      <c r="R865" s="78"/>
      <c r="S865" s="78"/>
      <c r="T865" s="78"/>
      <c r="U865" s="78"/>
      <c r="V865" s="78"/>
    </row>
    <row r="866" ht="15.75" customHeight="1">
      <c r="P866" s="78"/>
      <c r="Q866" s="78"/>
      <c r="R866" s="78"/>
      <c r="S866" s="78"/>
      <c r="T866" s="78"/>
      <c r="U866" s="78"/>
      <c r="V866" s="78"/>
    </row>
    <row r="867" ht="15.75" customHeight="1">
      <c r="P867" s="78"/>
      <c r="Q867" s="78"/>
      <c r="R867" s="78"/>
      <c r="S867" s="78"/>
      <c r="T867" s="78"/>
      <c r="U867" s="78"/>
      <c r="V867" s="78"/>
    </row>
    <row r="868" ht="15.75" customHeight="1">
      <c r="P868" s="78"/>
      <c r="Q868" s="78"/>
      <c r="R868" s="78"/>
      <c r="S868" s="78"/>
      <c r="T868" s="78"/>
      <c r="U868" s="78"/>
      <c r="V868" s="78"/>
    </row>
    <row r="869" ht="15.75" customHeight="1">
      <c r="P869" s="78"/>
      <c r="Q869" s="78"/>
      <c r="R869" s="78"/>
      <c r="S869" s="78"/>
      <c r="T869" s="78"/>
      <c r="U869" s="78"/>
      <c r="V869" s="78"/>
    </row>
    <row r="870" ht="15.75" customHeight="1">
      <c r="P870" s="78"/>
      <c r="Q870" s="78"/>
      <c r="R870" s="78"/>
      <c r="S870" s="78"/>
      <c r="T870" s="78"/>
      <c r="U870" s="78"/>
      <c r="V870" s="78"/>
    </row>
    <row r="871" ht="15.75" customHeight="1">
      <c r="P871" s="78"/>
      <c r="Q871" s="78"/>
      <c r="R871" s="78"/>
      <c r="S871" s="78"/>
      <c r="T871" s="78"/>
      <c r="U871" s="78"/>
      <c r="V871" s="78"/>
    </row>
    <row r="872" ht="15.75" customHeight="1">
      <c r="P872" s="78"/>
      <c r="Q872" s="78"/>
      <c r="R872" s="78"/>
      <c r="S872" s="78"/>
      <c r="T872" s="78"/>
      <c r="U872" s="78"/>
      <c r="V872" s="78"/>
    </row>
    <row r="873" ht="15.75" customHeight="1">
      <c r="P873" s="78"/>
      <c r="Q873" s="78"/>
      <c r="R873" s="78"/>
      <c r="S873" s="78"/>
      <c r="T873" s="78"/>
      <c r="U873" s="78"/>
      <c r="V873" s="78"/>
    </row>
    <row r="874" ht="15.75" customHeight="1">
      <c r="P874" s="78"/>
      <c r="Q874" s="78"/>
      <c r="R874" s="78"/>
      <c r="S874" s="78"/>
      <c r="T874" s="78"/>
      <c r="U874" s="78"/>
      <c r="V874" s="78"/>
    </row>
    <row r="875" ht="15.75" customHeight="1">
      <c r="P875" s="78"/>
      <c r="Q875" s="78"/>
      <c r="R875" s="78"/>
      <c r="S875" s="78"/>
      <c r="T875" s="78"/>
      <c r="U875" s="78"/>
      <c r="V875" s="78"/>
    </row>
    <row r="876" ht="15.75" customHeight="1">
      <c r="P876" s="78"/>
      <c r="Q876" s="78"/>
      <c r="R876" s="78"/>
      <c r="S876" s="78"/>
      <c r="T876" s="78"/>
      <c r="U876" s="78"/>
      <c r="V876" s="78"/>
    </row>
    <row r="877" ht="15.75" customHeight="1">
      <c r="P877" s="78"/>
      <c r="Q877" s="78"/>
      <c r="R877" s="78"/>
      <c r="S877" s="78"/>
      <c r="T877" s="78"/>
      <c r="U877" s="78"/>
      <c r="V877" s="78"/>
    </row>
    <row r="878" ht="15.75" customHeight="1">
      <c r="P878" s="78"/>
      <c r="Q878" s="78"/>
      <c r="R878" s="78"/>
      <c r="S878" s="78"/>
      <c r="T878" s="78"/>
      <c r="U878" s="78"/>
      <c r="V878" s="78"/>
    </row>
    <row r="879" ht="15.75" customHeight="1">
      <c r="P879" s="78"/>
      <c r="Q879" s="78"/>
      <c r="R879" s="78"/>
      <c r="S879" s="78"/>
      <c r="T879" s="78"/>
      <c r="U879" s="78"/>
      <c r="V879" s="78"/>
    </row>
    <row r="880" ht="15.75" customHeight="1">
      <c r="P880" s="78"/>
      <c r="Q880" s="78"/>
      <c r="R880" s="78"/>
      <c r="S880" s="78"/>
      <c r="T880" s="78"/>
      <c r="U880" s="78"/>
      <c r="V880" s="78"/>
    </row>
    <row r="881" ht="15.75" customHeight="1">
      <c r="P881" s="78"/>
      <c r="Q881" s="78"/>
      <c r="R881" s="78"/>
      <c r="S881" s="78"/>
      <c r="T881" s="78"/>
      <c r="U881" s="78"/>
      <c r="V881" s="78"/>
    </row>
    <row r="882" ht="15.75" customHeight="1">
      <c r="P882" s="78"/>
      <c r="Q882" s="78"/>
      <c r="R882" s="78"/>
      <c r="S882" s="78"/>
      <c r="T882" s="78"/>
      <c r="U882" s="78"/>
      <c r="V882" s="78"/>
    </row>
    <row r="883" ht="15.75" customHeight="1">
      <c r="P883" s="78"/>
      <c r="Q883" s="78"/>
      <c r="R883" s="78"/>
      <c r="S883" s="78"/>
      <c r="T883" s="78"/>
      <c r="U883" s="78"/>
      <c r="V883" s="78"/>
    </row>
    <row r="884" ht="15.75" customHeight="1">
      <c r="P884" s="78"/>
      <c r="Q884" s="78"/>
      <c r="R884" s="78"/>
      <c r="S884" s="78"/>
      <c r="T884" s="78"/>
      <c r="U884" s="78"/>
      <c r="V884" s="78"/>
    </row>
    <row r="885" ht="15.75" customHeight="1">
      <c r="P885" s="78"/>
      <c r="Q885" s="78"/>
      <c r="R885" s="78"/>
      <c r="S885" s="78"/>
      <c r="T885" s="78"/>
      <c r="U885" s="78"/>
      <c r="V885" s="78"/>
    </row>
    <row r="886" ht="15.75" customHeight="1">
      <c r="P886" s="78"/>
      <c r="Q886" s="78"/>
      <c r="R886" s="78"/>
      <c r="S886" s="78"/>
      <c r="T886" s="78"/>
      <c r="U886" s="78"/>
      <c r="V886" s="78"/>
    </row>
    <row r="887" ht="15.75" customHeight="1">
      <c r="P887" s="78"/>
      <c r="Q887" s="78"/>
      <c r="R887" s="78"/>
      <c r="S887" s="78"/>
      <c r="T887" s="78"/>
      <c r="U887" s="78"/>
      <c r="V887" s="78"/>
    </row>
    <row r="888" ht="15.75" customHeight="1">
      <c r="P888" s="78"/>
      <c r="Q888" s="78"/>
      <c r="R888" s="78"/>
      <c r="S888" s="78"/>
      <c r="T888" s="78"/>
      <c r="U888" s="78"/>
      <c r="V888" s="78"/>
    </row>
    <row r="889" ht="15.75" customHeight="1">
      <c r="P889" s="78"/>
      <c r="Q889" s="78"/>
      <c r="R889" s="78"/>
      <c r="S889" s="78"/>
      <c r="T889" s="78"/>
      <c r="U889" s="78"/>
      <c r="V889" s="78"/>
    </row>
    <row r="890" ht="15.75" customHeight="1">
      <c r="P890" s="78"/>
      <c r="Q890" s="78"/>
      <c r="R890" s="78"/>
      <c r="S890" s="78"/>
      <c r="T890" s="78"/>
      <c r="U890" s="78"/>
      <c r="V890" s="78"/>
    </row>
    <row r="891" ht="15.75" customHeight="1">
      <c r="P891" s="78"/>
      <c r="Q891" s="78"/>
      <c r="R891" s="78"/>
      <c r="S891" s="78"/>
      <c r="T891" s="78"/>
      <c r="U891" s="78"/>
      <c r="V891" s="78"/>
    </row>
    <row r="892" ht="15.75" customHeight="1">
      <c r="P892" s="78"/>
      <c r="Q892" s="78"/>
      <c r="R892" s="78"/>
      <c r="S892" s="78"/>
      <c r="T892" s="78"/>
      <c r="U892" s="78"/>
      <c r="V892" s="78"/>
    </row>
    <row r="893" ht="15.75" customHeight="1">
      <c r="P893" s="78"/>
      <c r="Q893" s="78"/>
      <c r="R893" s="78"/>
      <c r="S893" s="78"/>
      <c r="T893" s="78"/>
      <c r="U893" s="78"/>
      <c r="V893" s="78"/>
    </row>
    <row r="894" ht="15.75" customHeight="1">
      <c r="P894" s="78"/>
      <c r="Q894" s="78"/>
      <c r="R894" s="78"/>
      <c r="S894" s="78"/>
      <c r="T894" s="78"/>
      <c r="U894" s="78"/>
      <c r="V894" s="78"/>
    </row>
    <row r="895" ht="15.75" customHeight="1">
      <c r="P895" s="78"/>
      <c r="Q895" s="78"/>
      <c r="R895" s="78"/>
      <c r="S895" s="78"/>
      <c r="T895" s="78"/>
      <c r="U895" s="78"/>
      <c r="V895" s="78"/>
    </row>
    <row r="896" ht="15.75" customHeight="1">
      <c r="P896" s="78"/>
      <c r="Q896" s="78"/>
      <c r="R896" s="78"/>
      <c r="S896" s="78"/>
      <c r="T896" s="78"/>
      <c r="U896" s="78"/>
      <c r="V896" s="78"/>
    </row>
    <row r="897" ht="15.75" customHeight="1">
      <c r="P897" s="78"/>
      <c r="Q897" s="78"/>
      <c r="R897" s="78"/>
      <c r="S897" s="78"/>
      <c r="T897" s="78"/>
      <c r="U897" s="78"/>
      <c r="V897" s="78"/>
    </row>
    <row r="898" ht="15.75" customHeight="1">
      <c r="P898" s="78"/>
      <c r="Q898" s="78"/>
      <c r="R898" s="78"/>
      <c r="S898" s="78"/>
      <c r="T898" s="78"/>
      <c r="U898" s="78"/>
      <c r="V898" s="78"/>
    </row>
    <row r="899" ht="15.75" customHeight="1">
      <c r="P899" s="78"/>
      <c r="Q899" s="78"/>
      <c r="R899" s="78"/>
      <c r="S899" s="78"/>
      <c r="T899" s="78"/>
      <c r="U899" s="78"/>
      <c r="V899" s="78"/>
    </row>
    <row r="900" ht="15.75" customHeight="1">
      <c r="P900" s="78"/>
      <c r="Q900" s="78"/>
      <c r="R900" s="78"/>
      <c r="S900" s="78"/>
      <c r="T900" s="78"/>
      <c r="U900" s="78"/>
      <c r="V900" s="78"/>
    </row>
    <row r="901" ht="15.75" customHeight="1">
      <c r="P901" s="78"/>
      <c r="Q901" s="78"/>
      <c r="R901" s="78"/>
      <c r="S901" s="78"/>
      <c r="T901" s="78"/>
      <c r="U901" s="78"/>
      <c r="V901" s="78"/>
    </row>
    <row r="902" ht="15.75" customHeight="1">
      <c r="P902" s="78"/>
      <c r="Q902" s="78"/>
      <c r="R902" s="78"/>
      <c r="S902" s="78"/>
      <c r="T902" s="78"/>
      <c r="U902" s="78"/>
      <c r="V902" s="78"/>
    </row>
    <row r="903" ht="15.75" customHeight="1">
      <c r="P903" s="78"/>
      <c r="Q903" s="78"/>
      <c r="R903" s="78"/>
      <c r="S903" s="78"/>
      <c r="T903" s="78"/>
      <c r="U903" s="78"/>
      <c r="V903" s="78"/>
    </row>
    <row r="904" ht="15.75" customHeight="1">
      <c r="P904" s="78"/>
      <c r="Q904" s="78"/>
      <c r="R904" s="78"/>
      <c r="S904" s="78"/>
      <c r="T904" s="78"/>
      <c r="U904" s="78"/>
      <c r="V904" s="78"/>
    </row>
    <row r="905" ht="15.75" customHeight="1">
      <c r="P905" s="78"/>
      <c r="Q905" s="78"/>
      <c r="R905" s="78"/>
      <c r="S905" s="78"/>
      <c r="T905" s="78"/>
      <c r="U905" s="78"/>
      <c r="V905" s="78"/>
    </row>
    <row r="906" ht="15.75" customHeight="1">
      <c r="P906" s="78"/>
      <c r="Q906" s="78"/>
      <c r="R906" s="78"/>
      <c r="S906" s="78"/>
      <c r="T906" s="78"/>
      <c r="U906" s="78"/>
      <c r="V906" s="78"/>
    </row>
    <row r="907" ht="15.75" customHeight="1">
      <c r="P907" s="78"/>
      <c r="Q907" s="78"/>
      <c r="R907" s="78"/>
      <c r="S907" s="78"/>
      <c r="T907" s="78"/>
      <c r="U907" s="78"/>
      <c r="V907" s="78"/>
    </row>
    <row r="908" ht="15.75" customHeight="1">
      <c r="P908" s="78"/>
      <c r="Q908" s="78"/>
      <c r="R908" s="78"/>
      <c r="S908" s="78"/>
      <c r="T908" s="78"/>
      <c r="U908" s="78"/>
      <c r="V908" s="78"/>
    </row>
    <row r="909" ht="15.75" customHeight="1">
      <c r="P909" s="78"/>
      <c r="Q909" s="78"/>
      <c r="R909" s="78"/>
      <c r="S909" s="78"/>
      <c r="T909" s="78"/>
      <c r="U909" s="78"/>
      <c r="V909" s="78"/>
    </row>
    <row r="910" ht="15.75" customHeight="1">
      <c r="P910" s="78"/>
      <c r="Q910" s="78"/>
      <c r="R910" s="78"/>
      <c r="S910" s="78"/>
      <c r="T910" s="78"/>
      <c r="U910" s="78"/>
      <c r="V910" s="78"/>
    </row>
    <row r="911" ht="15.75" customHeight="1">
      <c r="P911" s="78"/>
      <c r="Q911" s="78"/>
      <c r="R911" s="78"/>
      <c r="S911" s="78"/>
      <c r="T911" s="78"/>
      <c r="U911" s="78"/>
      <c r="V911" s="78"/>
    </row>
    <row r="912" ht="15.75" customHeight="1">
      <c r="P912" s="78"/>
      <c r="Q912" s="78"/>
      <c r="R912" s="78"/>
      <c r="S912" s="78"/>
      <c r="T912" s="78"/>
      <c r="U912" s="78"/>
      <c r="V912" s="78"/>
    </row>
    <row r="913" ht="15.75" customHeight="1">
      <c r="P913" s="78"/>
      <c r="Q913" s="78"/>
      <c r="R913" s="78"/>
      <c r="S913" s="78"/>
      <c r="T913" s="78"/>
      <c r="U913" s="78"/>
      <c r="V913" s="78"/>
    </row>
    <row r="914" ht="15.75" customHeight="1">
      <c r="P914" s="78"/>
      <c r="Q914" s="78"/>
      <c r="R914" s="78"/>
      <c r="S914" s="78"/>
      <c r="T914" s="78"/>
      <c r="U914" s="78"/>
      <c r="V914" s="78"/>
    </row>
    <row r="915" ht="15.75" customHeight="1">
      <c r="P915" s="78"/>
      <c r="Q915" s="78"/>
      <c r="R915" s="78"/>
      <c r="S915" s="78"/>
      <c r="T915" s="78"/>
      <c r="U915" s="78"/>
      <c r="V915" s="78"/>
    </row>
    <row r="916" ht="15.75" customHeight="1">
      <c r="P916" s="78"/>
      <c r="Q916" s="78"/>
      <c r="R916" s="78"/>
      <c r="S916" s="78"/>
      <c r="T916" s="78"/>
      <c r="U916" s="78"/>
      <c r="V916" s="78"/>
    </row>
    <row r="917" ht="15.75" customHeight="1">
      <c r="P917" s="78"/>
      <c r="Q917" s="78"/>
      <c r="R917" s="78"/>
      <c r="S917" s="78"/>
      <c r="T917" s="78"/>
      <c r="U917" s="78"/>
      <c r="V917" s="78"/>
    </row>
    <row r="918" ht="15.75" customHeight="1">
      <c r="P918" s="78"/>
      <c r="Q918" s="78"/>
      <c r="R918" s="78"/>
      <c r="S918" s="78"/>
      <c r="T918" s="78"/>
      <c r="U918" s="78"/>
      <c r="V918" s="78"/>
    </row>
    <row r="919" ht="15.75" customHeight="1">
      <c r="P919" s="78"/>
      <c r="Q919" s="78"/>
      <c r="R919" s="78"/>
      <c r="S919" s="78"/>
      <c r="T919" s="78"/>
      <c r="U919" s="78"/>
      <c r="V919" s="78"/>
    </row>
    <row r="920" ht="15.75" customHeight="1">
      <c r="P920" s="78"/>
      <c r="Q920" s="78"/>
      <c r="R920" s="78"/>
      <c r="S920" s="78"/>
      <c r="T920" s="78"/>
      <c r="U920" s="78"/>
      <c r="V920" s="78"/>
    </row>
    <row r="921" ht="15.75" customHeight="1">
      <c r="P921" s="78"/>
      <c r="Q921" s="78"/>
      <c r="R921" s="78"/>
      <c r="S921" s="78"/>
      <c r="T921" s="78"/>
      <c r="U921" s="78"/>
      <c r="V921" s="78"/>
    </row>
    <row r="922" ht="15.75" customHeight="1">
      <c r="P922" s="78"/>
      <c r="Q922" s="78"/>
      <c r="R922" s="78"/>
      <c r="S922" s="78"/>
      <c r="T922" s="78"/>
      <c r="U922" s="78"/>
      <c r="V922" s="78"/>
    </row>
    <row r="923" ht="15.75" customHeight="1">
      <c r="P923" s="78"/>
      <c r="Q923" s="78"/>
      <c r="R923" s="78"/>
      <c r="S923" s="78"/>
      <c r="T923" s="78"/>
      <c r="U923" s="78"/>
      <c r="V923" s="78"/>
    </row>
    <row r="924" ht="15.75" customHeight="1">
      <c r="P924" s="78"/>
      <c r="Q924" s="78"/>
      <c r="R924" s="78"/>
      <c r="S924" s="78"/>
      <c r="T924" s="78"/>
      <c r="U924" s="78"/>
      <c r="V924" s="78"/>
    </row>
    <row r="925" ht="15.75" customHeight="1">
      <c r="P925" s="78"/>
      <c r="Q925" s="78"/>
      <c r="R925" s="78"/>
      <c r="S925" s="78"/>
      <c r="T925" s="78"/>
      <c r="U925" s="78"/>
      <c r="V925" s="78"/>
    </row>
    <row r="926" ht="15.75" customHeight="1">
      <c r="P926" s="78"/>
      <c r="Q926" s="78"/>
      <c r="R926" s="78"/>
      <c r="S926" s="78"/>
      <c r="T926" s="78"/>
      <c r="U926" s="78"/>
      <c r="V926" s="78"/>
    </row>
    <row r="927" ht="15.75" customHeight="1">
      <c r="P927" s="78"/>
      <c r="Q927" s="78"/>
      <c r="R927" s="78"/>
      <c r="S927" s="78"/>
      <c r="T927" s="78"/>
      <c r="U927" s="78"/>
      <c r="V927" s="78"/>
    </row>
    <row r="928" ht="15.75" customHeight="1">
      <c r="P928" s="78"/>
      <c r="Q928" s="78"/>
      <c r="R928" s="78"/>
      <c r="S928" s="78"/>
      <c r="T928" s="78"/>
      <c r="U928" s="78"/>
      <c r="V928" s="78"/>
    </row>
    <row r="929" ht="15.75" customHeight="1">
      <c r="P929" s="78"/>
      <c r="Q929" s="78"/>
      <c r="R929" s="78"/>
      <c r="S929" s="78"/>
      <c r="T929" s="78"/>
      <c r="U929" s="78"/>
      <c r="V929" s="78"/>
    </row>
    <row r="930" ht="15.75" customHeight="1">
      <c r="P930" s="78"/>
      <c r="Q930" s="78"/>
      <c r="R930" s="78"/>
      <c r="S930" s="78"/>
      <c r="T930" s="78"/>
      <c r="U930" s="78"/>
      <c r="V930" s="78"/>
    </row>
    <row r="931" ht="15.75" customHeight="1">
      <c r="P931" s="78"/>
      <c r="Q931" s="78"/>
      <c r="R931" s="78"/>
      <c r="S931" s="78"/>
      <c r="T931" s="78"/>
      <c r="U931" s="78"/>
      <c r="V931" s="78"/>
    </row>
    <row r="932" ht="15.75" customHeight="1">
      <c r="P932" s="78"/>
      <c r="Q932" s="78"/>
      <c r="R932" s="78"/>
      <c r="S932" s="78"/>
      <c r="T932" s="78"/>
      <c r="U932" s="78"/>
      <c r="V932" s="78"/>
    </row>
    <row r="933" ht="15.75" customHeight="1">
      <c r="P933" s="78"/>
      <c r="Q933" s="78"/>
      <c r="R933" s="78"/>
      <c r="S933" s="78"/>
      <c r="T933" s="78"/>
      <c r="U933" s="78"/>
      <c r="V933" s="78"/>
    </row>
    <row r="934" ht="15.75" customHeight="1">
      <c r="P934" s="78"/>
      <c r="Q934" s="78"/>
      <c r="R934" s="78"/>
      <c r="S934" s="78"/>
      <c r="T934" s="78"/>
      <c r="U934" s="78"/>
      <c r="V934" s="78"/>
    </row>
    <row r="935" ht="15.75" customHeight="1">
      <c r="P935" s="78"/>
      <c r="Q935" s="78"/>
      <c r="R935" s="78"/>
      <c r="S935" s="78"/>
      <c r="T935" s="78"/>
      <c r="U935" s="78"/>
      <c r="V935" s="78"/>
    </row>
    <row r="936" ht="15.75" customHeight="1">
      <c r="P936" s="78"/>
      <c r="Q936" s="78"/>
      <c r="R936" s="78"/>
      <c r="S936" s="78"/>
      <c r="T936" s="78"/>
      <c r="U936" s="78"/>
      <c r="V936" s="78"/>
    </row>
    <row r="937" ht="15.75" customHeight="1">
      <c r="P937" s="78"/>
      <c r="Q937" s="78"/>
      <c r="R937" s="78"/>
      <c r="S937" s="78"/>
      <c r="T937" s="78"/>
      <c r="U937" s="78"/>
      <c r="V937" s="78"/>
    </row>
    <row r="938" ht="15.75" customHeight="1">
      <c r="P938" s="78"/>
      <c r="Q938" s="78"/>
      <c r="R938" s="78"/>
      <c r="S938" s="78"/>
      <c r="T938" s="78"/>
      <c r="U938" s="78"/>
      <c r="V938" s="78"/>
    </row>
    <row r="939" ht="15.75" customHeight="1">
      <c r="P939" s="78"/>
      <c r="Q939" s="78"/>
      <c r="R939" s="78"/>
      <c r="S939" s="78"/>
      <c r="T939" s="78"/>
      <c r="U939" s="78"/>
      <c r="V939" s="78"/>
    </row>
    <row r="940" ht="15.75" customHeight="1">
      <c r="P940" s="78"/>
      <c r="Q940" s="78"/>
      <c r="R940" s="78"/>
      <c r="S940" s="78"/>
      <c r="T940" s="78"/>
      <c r="U940" s="78"/>
      <c r="V940" s="78"/>
    </row>
    <row r="941" ht="15.75" customHeight="1">
      <c r="P941" s="78"/>
      <c r="Q941" s="78"/>
      <c r="R941" s="78"/>
      <c r="S941" s="78"/>
      <c r="T941" s="78"/>
      <c r="U941" s="78"/>
      <c r="V941" s="78"/>
    </row>
    <row r="942" ht="15.75" customHeight="1">
      <c r="P942" s="78"/>
      <c r="Q942" s="78"/>
      <c r="R942" s="78"/>
      <c r="S942" s="78"/>
      <c r="T942" s="78"/>
      <c r="U942" s="78"/>
      <c r="V942" s="78"/>
    </row>
    <row r="943" ht="15.75" customHeight="1">
      <c r="P943" s="78"/>
      <c r="Q943" s="78"/>
      <c r="R943" s="78"/>
      <c r="S943" s="78"/>
      <c r="T943" s="78"/>
      <c r="U943" s="78"/>
      <c r="V943" s="78"/>
    </row>
    <row r="944" ht="15.75" customHeight="1">
      <c r="P944" s="78"/>
      <c r="Q944" s="78"/>
      <c r="R944" s="78"/>
      <c r="S944" s="78"/>
      <c r="T944" s="78"/>
      <c r="U944" s="78"/>
      <c r="V944" s="78"/>
    </row>
    <row r="945" ht="15.75" customHeight="1">
      <c r="P945" s="78"/>
      <c r="Q945" s="78"/>
      <c r="R945" s="78"/>
      <c r="S945" s="78"/>
      <c r="T945" s="78"/>
      <c r="U945" s="78"/>
      <c r="V945" s="78"/>
    </row>
    <row r="946" ht="15.75" customHeight="1">
      <c r="P946" s="78"/>
      <c r="Q946" s="78"/>
      <c r="R946" s="78"/>
      <c r="S946" s="78"/>
      <c r="T946" s="78"/>
      <c r="U946" s="78"/>
      <c r="V946" s="78"/>
    </row>
    <row r="947" ht="15.75" customHeight="1">
      <c r="P947" s="78"/>
      <c r="Q947" s="78"/>
      <c r="R947" s="78"/>
      <c r="S947" s="78"/>
      <c r="T947" s="78"/>
      <c r="U947" s="78"/>
      <c r="V947" s="78"/>
    </row>
    <row r="948" ht="15.75" customHeight="1">
      <c r="P948" s="78"/>
      <c r="Q948" s="78"/>
      <c r="R948" s="78"/>
      <c r="S948" s="78"/>
      <c r="T948" s="78"/>
      <c r="U948" s="78"/>
      <c r="V948" s="78"/>
    </row>
    <row r="949" ht="15.75" customHeight="1">
      <c r="P949" s="78"/>
      <c r="Q949" s="78"/>
      <c r="R949" s="78"/>
      <c r="S949" s="78"/>
      <c r="T949" s="78"/>
      <c r="U949" s="78"/>
      <c r="V949" s="78"/>
    </row>
    <row r="950" ht="15.75" customHeight="1">
      <c r="P950" s="78"/>
      <c r="Q950" s="78"/>
      <c r="R950" s="78"/>
      <c r="S950" s="78"/>
      <c r="T950" s="78"/>
      <c r="U950" s="78"/>
      <c r="V950" s="78"/>
    </row>
    <row r="951" ht="15.75" customHeight="1">
      <c r="P951" s="78"/>
      <c r="Q951" s="78"/>
      <c r="R951" s="78"/>
      <c r="S951" s="78"/>
      <c r="T951" s="78"/>
      <c r="U951" s="78"/>
      <c r="V951" s="78"/>
    </row>
    <row r="952" ht="15.75" customHeight="1">
      <c r="P952" s="78"/>
      <c r="Q952" s="78"/>
      <c r="R952" s="78"/>
      <c r="S952" s="78"/>
      <c r="T952" s="78"/>
      <c r="U952" s="78"/>
      <c r="V952" s="78"/>
    </row>
    <row r="953" ht="15.75" customHeight="1">
      <c r="P953" s="78"/>
      <c r="Q953" s="78"/>
      <c r="R953" s="78"/>
      <c r="S953" s="78"/>
      <c r="T953" s="78"/>
      <c r="U953" s="78"/>
      <c r="V953" s="78"/>
    </row>
    <row r="954" ht="15.75" customHeight="1">
      <c r="P954" s="78"/>
      <c r="Q954" s="78"/>
      <c r="R954" s="78"/>
      <c r="S954" s="78"/>
      <c r="T954" s="78"/>
      <c r="U954" s="78"/>
      <c r="V954" s="78"/>
    </row>
    <row r="955" ht="15.75" customHeight="1">
      <c r="P955" s="78"/>
      <c r="Q955" s="78"/>
      <c r="R955" s="78"/>
      <c r="S955" s="78"/>
      <c r="T955" s="78"/>
      <c r="U955" s="78"/>
      <c r="V955" s="78"/>
    </row>
    <row r="956" ht="15.75" customHeight="1">
      <c r="P956" s="78"/>
      <c r="Q956" s="78"/>
      <c r="R956" s="78"/>
      <c r="S956" s="78"/>
      <c r="T956" s="78"/>
      <c r="U956" s="78"/>
      <c r="V956" s="78"/>
    </row>
    <row r="957" ht="15.75" customHeight="1">
      <c r="P957" s="78"/>
      <c r="Q957" s="78"/>
      <c r="R957" s="78"/>
      <c r="S957" s="78"/>
      <c r="T957" s="78"/>
      <c r="U957" s="78"/>
      <c r="V957" s="78"/>
    </row>
    <row r="958" ht="15.75" customHeight="1">
      <c r="P958" s="78"/>
      <c r="Q958" s="78"/>
      <c r="R958" s="78"/>
      <c r="S958" s="78"/>
      <c r="T958" s="78"/>
      <c r="U958" s="78"/>
      <c r="V958" s="78"/>
    </row>
    <row r="959" ht="15.75" customHeight="1">
      <c r="P959" s="78"/>
      <c r="Q959" s="78"/>
      <c r="R959" s="78"/>
      <c r="S959" s="78"/>
      <c r="T959" s="78"/>
      <c r="U959" s="78"/>
      <c r="V959" s="78"/>
    </row>
    <row r="960" ht="15.75" customHeight="1">
      <c r="P960" s="78"/>
      <c r="Q960" s="78"/>
      <c r="R960" s="78"/>
      <c r="S960" s="78"/>
      <c r="T960" s="78"/>
      <c r="U960" s="78"/>
      <c r="V960" s="78"/>
    </row>
    <row r="961" ht="15.75" customHeight="1">
      <c r="P961" s="78"/>
      <c r="Q961" s="78"/>
      <c r="R961" s="78"/>
      <c r="S961" s="78"/>
      <c r="T961" s="78"/>
      <c r="U961" s="78"/>
      <c r="V961" s="78"/>
    </row>
    <row r="962" ht="15.75" customHeight="1">
      <c r="P962" s="78"/>
      <c r="Q962" s="78"/>
      <c r="R962" s="78"/>
      <c r="S962" s="78"/>
      <c r="T962" s="78"/>
      <c r="U962" s="78"/>
      <c r="V962" s="78"/>
    </row>
    <row r="963" ht="15.75" customHeight="1">
      <c r="P963" s="78"/>
      <c r="Q963" s="78"/>
      <c r="R963" s="78"/>
      <c r="S963" s="78"/>
      <c r="T963" s="78"/>
      <c r="U963" s="78"/>
      <c r="V963" s="78"/>
    </row>
    <row r="964" ht="15.75" customHeight="1">
      <c r="P964" s="78"/>
      <c r="Q964" s="78"/>
      <c r="R964" s="78"/>
      <c r="S964" s="78"/>
      <c r="T964" s="78"/>
      <c r="U964" s="78"/>
      <c r="V964" s="78"/>
    </row>
    <row r="965" ht="15.75" customHeight="1">
      <c r="P965" s="78"/>
      <c r="Q965" s="78"/>
      <c r="R965" s="78"/>
      <c r="S965" s="78"/>
      <c r="T965" s="78"/>
      <c r="U965" s="78"/>
      <c r="V965" s="78"/>
    </row>
    <row r="966" ht="15.75" customHeight="1">
      <c r="P966" s="78"/>
      <c r="Q966" s="78"/>
      <c r="R966" s="78"/>
      <c r="S966" s="78"/>
      <c r="T966" s="78"/>
      <c r="U966" s="78"/>
      <c r="V966" s="78"/>
    </row>
    <row r="967" ht="15.75" customHeight="1">
      <c r="P967" s="78"/>
      <c r="Q967" s="78"/>
      <c r="R967" s="78"/>
      <c r="S967" s="78"/>
      <c r="T967" s="78"/>
      <c r="U967" s="78"/>
      <c r="V967" s="78"/>
    </row>
    <row r="968" ht="15.75" customHeight="1">
      <c r="P968" s="78"/>
      <c r="Q968" s="78"/>
      <c r="R968" s="78"/>
      <c r="S968" s="78"/>
      <c r="T968" s="78"/>
      <c r="U968" s="78"/>
      <c r="V968" s="78"/>
    </row>
    <row r="969" ht="15.75" customHeight="1">
      <c r="P969" s="78"/>
      <c r="Q969" s="78"/>
      <c r="R969" s="78"/>
      <c r="S969" s="78"/>
      <c r="T969" s="78"/>
      <c r="U969" s="78"/>
      <c r="V969" s="78"/>
    </row>
    <row r="970" ht="15.75" customHeight="1">
      <c r="P970" s="78"/>
      <c r="Q970" s="78"/>
      <c r="R970" s="78"/>
      <c r="S970" s="78"/>
      <c r="T970" s="78"/>
      <c r="U970" s="78"/>
      <c r="V970" s="78"/>
    </row>
    <row r="971" ht="15.75" customHeight="1">
      <c r="P971" s="78"/>
      <c r="Q971" s="78"/>
      <c r="R971" s="78"/>
      <c r="S971" s="78"/>
      <c r="T971" s="78"/>
      <c r="U971" s="78"/>
      <c r="V971" s="78"/>
    </row>
    <row r="972" ht="15.75" customHeight="1">
      <c r="P972" s="78"/>
      <c r="Q972" s="78"/>
      <c r="R972" s="78"/>
      <c r="S972" s="78"/>
      <c r="T972" s="78"/>
      <c r="U972" s="78"/>
      <c r="V972" s="78"/>
    </row>
    <row r="973" ht="15.75" customHeight="1">
      <c r="P973" s="78"/>
      <c r="Q973" s="78"/>
      <c r="R973" s="78"/>
      <c r="S973" s="78"/>
      <c r="T973" s="78"/>
      <c r="U973" s="78"/>
      <c r="V973" s="78"/>
    </row>
    <row r="974" ht="15.75" customHeight="1">
      <c r="P974" s="78"/>
      <c r="Q974" s="78"/>
      <c r="R974" s="78"/>
      <c r="S974" s="78"/>
      <c r="T974" s="78"/>
      <c r="U974" s="78"/>
      <c r="V974" s="78"/>
    </row>
    <row r="975" ht="15.75" customHeight="1">
      <c r="P975" s="78"/>
      <c r="Q975" s="78"/>
      <c r="R975" s="78"/>
      <c r="S975" s="78"/>
      <c r="T975" s="78"/>
      <c r="U975" s="78"/>
      <c r="V975" s="78"/>
    </row>
    <row r="976" ht="15.75" customHeight="1">
      <c r="P976" s="78"/>
      <c r="Q976" s="78"/>
      <c r="R976" s="78"/>
      <c r="S976" s="78"/>
      <c r="T976" s="78"/>
      <c r="U976" s="78"/>
      <c r="V976" s="78"/>
    </row>
    <row r="977" ht="15.75" customHeight="1">
      <c r="P977" s="78"/>
      <c r="Q977" s="78"/>
      <c r="R977" s="78"/>
      <c r="S977" s="78"/>
      <c r="T977" s="78"/>
      <c r="U977" s="78"/>
      <c r="V977" s="78"/>
    </row>
    <row r="978" ht="15.75" customHeight="1">
      <c r="P978" s="78"/>
      <c r="Q978" s="78"/>
      <c r="R978" s="78"/>
      <c r="S978" s="78"/>
      <c r="T978" s="78"/>
      <c r="U978" s="78"/>
      <c r="V978" s="78"/>
    </row>
    <row r="979" ht="15.75" customHeight="1">
      <c r="P979" s="78"/>
      <c r="Q979" s="78"/>
      <c r="R979" s="78"/>
      <c r="S979" s="78"/>
      <c r="T979" s="78"/>
      <c r="U979" s="78"/>
      <c r="V979" s="78"/>
    </row>
    <row r="980" ht="15.75" customHeight="1">
      <c r="P980" s="78"/>
      <c r="Q980" s="78"/>
      <c r="R980" s="78"/>
      <c r="S980" s="78"/>
      <c r="T980" s="78"/>
      <c r="U980" s="78"/>
      <c r="V980" s="78"/>
    </row>
    <row r="981" ht="15.75" customHeight="1">
      <c r="P981" s="78"/>
      <c r="Q981" s="78"/>
      <c r="R981" s="78"/>
      <c r="S981" s="78"/>
      <c r="T981" s="78"/>
      <c r="U981" s="78"/>
      <c r="V981" s="78"/>
    </row>
    <row r="982" ht="15.75" customHeight="1">
      <c r="P982" s="78"/>
      <c r="Q982" s="78"/>
      <c r="R982" s="78"/>
      <c r="S982" s="78"/>
      <c r="T982" s="78"/>
      <c r="U982" s="78"/>
      <c r="V982" s="78"/>
    </row>
    <row r="983" ht="15.75" customHeight="1">
      <c r="P983" s="78"/>
      <c r="Q983" s="78"/>
      <c r="R983" s="78"/>
      <c r="S983" s="78"/>
      <c r="T983" s="78"/>
      <c r="U983" s="78"/>
      <c r="V983" s="78"/>
    </row>
    <row r="984" ht="15.75" customHeight="1">
      <c r="P984" s="78"/>
      <c r="Q984" s="78"/>
      <c r="R984" s="78"/>
      <c r="S984" s="78"/>
      <c r="T984" s="78"/>
      <c r="U984" s="78"/>
      <c r="V984" s="78"/>
    </row>
    <row r="985" ht="15.75" customHeight="1">
      <c r="P985" s="78"/>
      <c r="Q985" s="78"/>
      <c r="R985" s="78"/>
      <c r="S985" s="78"/>
      <c r="T985" s="78"/>
      <c r="U985" s="78"/>
      <c r="V985" s="78"/>
    </row>
    <row r="986" ht="15.75" customHeight="1">
      <c r="P986" s="78"/>
      <c r="Q986" s="78"/>
      <c r="R986" s="78"/>
      <c r="S986" s="78"/>
      <c r="T986" s="78"/>
      <c r="U986" s="78"/>
      <c r="V986" s="78"/>
    </row>
    <row r="987" ht="15.75" customHeight="1">
      <c r="P987" s="78"/>
      <c r="Q987" s="78"/>
      <c r="R987" s="78"/>
      <c r="S987" s="78"/>
      <c r="T987" s="78"/>
      <c r="U987" s="78"/>
      <c r="V987" s="78"/>
    </row>
    <row r="988" ht="15.75" customHeight="1">
      <c r="P988" s="78"/>
      <c r="Q988" s="78"/>
      <c r="R988" s="78"/>
      <c r="S988" s="78"/>
      <c r="T988" s="78"/>
      <c r="U988" s="78"/>
      <c r="V988" s="78"/>
    </row>
    <row r="989" ht="15.75" customHeight="1">
      <c r="P989" s="78"/>
      <c r="Q989" s="78"/>
      <c r="R989" s="78"/>
      <c r="S989" s="78"/>
      <c r="T989" s="78"/>
      <c r="U989" s="78"/>
      <c r="V989" s="78"/>
    </row>
    <row r="990" ht="15.75" customHeight="1">
      <c r="P990" s="78"/>
      <c r="Q990" s="78"/>
      <c r="R990" s="78"/>
      <c r="S990" s="78"/>
      <c r="T990" s="78"/>
      <c r="U990" s="78"/>
      <c r="V990" s="78"/>
    </row>
    <row r="991" ht="15.75" customHeight="1">
      <c r="P991" s="78"/>
      <c r="Q991" s="78"/>
      <c r="R991" s="78"/>
      <c r="S991" s="78"/>
      <c r="T991" s="78"/>
      <c r="U991" s="78"/>
      <c r="V991" s="78"/>
    </row>
    <row r="992" ht="15.75" customHeight="1">
      <c r="P992" s="78"/>
      <c r="Q992" s="78"/>
      <c r="R992" s="78"/>
      <c r="S992" s="78"/>
      <c r="T992" s="78"/>
      <c r="U992" s="78"/>
      <c r="V992" s="78"/>
    </row>
    <row r="993" ht="15.75" customHeight="1">
      <c r="P993" s="78"/>
      <c r="Q993" s="78"/>
      <c r="R993" s="78"/>
      <c r="S993" s="78"/>
      <c r="T993" s="78"/>
      <c r="U993" s="78"/>
      <c r="V993" s="78"/>
    </row>
    <row r="994" ht="15.75" customHeight="1">
      <c r="P994" s="78"/>
      <c r="Q994" s="78"/>
      <c r="R994" s="78"/>
      <c r="S994" s="78"/>
      <c r="T994" s="78"/>
      <c r="U994" s="78"/>
      <c r="V994" s="78"/>
    </row>
    <row r="995" ht="15.75" customHeight="1">
      <c r="P995" s="78"/>
      <c r="Q995" s="78"/>
      <c r="R995" s="78"/>
      <c r="S995" s="78"/>
      <c r="T995" s="78"/>
      <c r="U995" s="78"/>
      <c r="V995" s="78"/>
    </row>
    <row r="996" ht="15.75" customHeight="1">
      <c r="P996" s="78"/>
      <c r="Q996" s="78"/>
      <c r="R996" s="78"/>
      <c r="S996" s="78"/>
      <c r="T996" s="78"/>
      <c r="U996" s="78"/>
      <c r="V996" s="78"/>
    </row>
    <row r="997" ht="15.75" customHeight="1">
      <c r="P997" s="78"/>
      <c r="Q997" s="78"/>
      <c r="R997" s="78"/>
      <c r="S997" s="78"/>
      <c r="T997" s="78"/>
      <c r="U997" s="78"/>
      <c r="V997" s="78"/>
    </row>
    <row r="998" ht="15.75" customHeight="1">
      <c r="P998" s="78"/>
      <c r="Q998" s="78"/>
      <c r="R998" s="78"/>
      <c r="S998" s="78"/>
      <c r="T998" s="78"/>
      <c r="U998" s="78"/>
      <c r="V998" s="78"/>
    </row>
    <row r="999" ht="15.75" customHeight="1">
      <c r="P999" s="78"/>
      <c r="Q999" s="78"/>
      <c r="R999" s="78"/>
      <c r="S999" s="78"/>
      <c r="T999" s="78"/>
      <c r="U999" s="78"/>
      <c r="V999" s="78"/>
    </row>
    <row r="1000" ht="15.75" customHeight="1">
      <c r="P1000" s="78"/>
      <c r="Q1000" s="78"/>
      <c r="R1000" s="78"/>
      <c r="S1000" s="78"/>
      <c r="T1000" s="78"/>
      <c r="U1000" s="78"/>
      <c r="V1000" s="78"/>
    </row>
  </sheetData>
  <mergeCells count="8">
    <mergeCell ref="B1:N2"/>
    <mergeCell ref="P1:V1"/>
    <mergeCell ref="H3:H42"/>
    <mergeCell ref="B8:C8"/>
    <mergeCell ref="I8:J8"/>
    <mergeCell ref="B15:C15"/>
    <mergeCell ref="I20:J20"/>
    <mergeCell ref="B38:C38"/>
  </mergeCells>
  <drawing r:id="rId1"/>
</worksheet>
</file>